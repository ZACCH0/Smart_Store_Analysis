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7280\Videos\PYTHON ROAD MAP\Desktop\excellent\smart-sales-raw-data-main\smart-sales-raw-data-main\data\raw\"/>
    </mc:Choice>
  </mc:AlternateContent>
  <xr:revisionPtr revIDLastSave="0" documentId="13_ncr:1_{02569CB0-76E3-4BF1-A781-FF6443012538}" xr6:coauthVersionLast="47" xr6:coauthVersionMax="47" xr10:uidLastSave="{00000000-0000-0000-0000-000000000000}"/>
  <bookViews>
    <workbookView xWindow="-108" yWindow="-108" windowWidth="23256" windowHeight="12456" activeTab="1" xr2:uid="{6330DD49-8D0C-4115-912E-8C02A9EFFD4A}"/>
  </bookViews>
  <sheets>
    <sheet name="Table Dashboard" sheetId="1" r:id="rId1"/>
    <sheet name="Dashboard" sheetId="3" r:id="rId2"/>
    <sheet name="Sheet1" sheetId="10" r:id="rId3"/>
  </sheets>
  <definedNames>
    <definedName name="Slicer_Category">#N/A</definedName>
    <definedName name="Slicer_Region_Up1">#N/A</definedName>
    <definedName name="Slicer_StoreID">#N/A</definedName>
    <definedName name="Timeline_JoinDate">#N/A</definedName>
  </definedNames>
  <calcPr calcId="191029"/>
  <pivotCaches>
    <pivotCache cacheId="144" r:id="rId4"/>
    <pivotCache cacheId="147" r:id="rId5"/>
    <pivotCache cacheId="150" r:id="rId6"/>
    <pivotCache cacheId="153" r:id="rId7"/>
    <pivotCache cacheId="159" r:id="rId8"/>
    <pivotCache cacheId="181" r:id="rId9"/>
    <pivotCache cacheId="201" r:id="rId10"/>
    <pivotCache cacheId="213" r:id="rId11"/>
  </pivotCaches>
  <extLst>
    <ext xmlns:x14="http://schemas.microsoft.com/office/spreadsheetml/2009/9/main" uri="{876F7934-8845-4945-9796-88D515C7AA90}">
      <x14:pivotCaches>
        <pivotCache cacheId="143"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841E416B-1EF1-43b6-AB56-02D37102CBD5}">
      <x15:pivotCaches>
        <pivotCache cacheId="162" r:id="rId16"/>
        <pivotCache cacheId="165" r:id="rId17"/>
        <pivotCache cacheId="168" r:id="rId18"/>
        <pivotCache cacheId="171" r:id="rId19"/>
        <pivotCache cacheId="175" r:id="rId20"/>
        <pivotCache cacheId="178" r:id="rId21"/>
      </x15:pivotCaches>
    </ext>
    <ext xmlns:x15="http://schemas.microsoft.com/office/spreadsheetml/2010/11/main" uri="{983426D0-5260-488c-9760-48F4B6AC55F4}">
      <x15:pivotTableReferences>
        <x15:pivotTableReference r:id="rId22"/>
        <x15:pivotTableReference r:id="rId23"/>
        <x15:pivotTableReference r:id="rId24"/>
        <x15:pivotTableReference r:id="rId25"/>
        <x15:pivotTableReference r:id="rId26"/>
        <x15:pivotTableReference r:id="rId27"/>
      </x15:pivotTableReferences>
    </ext>
    <ext xmlns:x15="http://schemas.microsoft.com/office/spreadsheetml/2010/11/main" uri="{A2CB5862-8E78-49c6-8D9D-AF26E26ADB89}">
      <x15:timelineCachePivotCaches>
        <pivotCache cacheId="174"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ata_05810830-1f80-4b62-8491-edd7d0c67c0f" name="customers_data" connection="Query - customers_data"/>
          <x15:modelTable id="products_data_41ac812b-3f8d-4bb6-b7f7-97d47f55d64d" name="products_data" connection="Query - products_data"/>
          <x15:modelTable id="sales_data_d7def36e-e187-4ccb-934d-6bf9c26204b5" name="sales_data" connection="Query - sales_data"/>
        </x15:modelTables>
        <x15:modelRelationships>
          <x15:modelRelationship fromTable="sales_data" fromColumn="CustomerID-validate" toTable="customers_data" toColumn="CustomerID"/>
          <x15:modelRelationship fromTable="sales_data" fromColumn="ProductID" toTable="products_data" toColumn="ProductID"/>
        </x15:modelRelationships>
        <x15:extLst>
          <ext xmlns:x16="http://schemas.microsoft.com/office/spreadsheetml/2014/11/main" uri="{9835A34E-60A6-4A7C-AAB8-D5F71C897F49}">
            <x16:modelTimeGroupings>
              <x16:modelTimeGrouping tableName="customers_data" columnName="JoinDate" columnId="JoinDate">
                <x16:calculatedTimeColumn columnName="JoinDate (Year)" columnId="JoinDate (Year)" contentType="years" isSelected="1"/>
                <x16:calculatedTimeColumn columnName="JoinDate (Quarter)" columnId="JoinDate (Quarter)" contentType="quarters" isSelected="1"/>
                <x16:calculatedTimeColumn columnName="JoinDate (Month Index)" columnId="JoinDate (Month Index)" contentType="monthsindex" isSelected="1"/>
                <x16:calculatedTimeColumn columnName="JoinDate (Month)" columnId="JoinDate (Month)" contentType="months" isSelected="1"/>
              </x16:modelTimeGrouping>
              <x16:modelTimeGrouping tableName="sales_data" columnName="SaleDate" columnId="SaleDate">
                <x16:calculatedTimeColumn columnName="SaleDate (Year)" columnId="SaleDate (Year)" contentType="years" isSelected="1"/>
                <x16:calculatedTimeColumn columnName="SaleDate (Quarter)" columnId="SaleDate (Quarter)" contentType="quarters" isSelected="1"/>
                <x16:calculatedTimeColumn columnName="SaleDate (Month Index)" columnId="SaleDate (Month Index)" contentType="monthsindex" isSelected="1"/>
                <x16:calculatedTimeColumn columnName="SaleDate (Month)" columnId="Sal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7" i="3" l="1"/>
  <c r="G7" i="3"/>
  <c r="I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041835-CA5C-4AEE-8826-3B65095A7495}" name="Query - customers_data" description="Connection to the 'customers_data' query in the workbook." type="100" refreshedVersion="7" minRefreshableVersion="5" background="1" saveData="1">
    <extLst>
      <ext xmlns:x15="http://schemas.microsoft.com/office/spreadsheetml/2010/11/main" uri="{DE250136-89BD-433C-8126-D09CA5730AF9}">
        <x15:connection id="da7f131c-031d-4da3-b953-bc7878372cb8"/>
      </ext>
    </extLst>
  </connection>
  <connection id="2" xr16:uid="{DC2D3D46-DDA2-4F87-88B9-EB08C816BF1B}" name="Query - products_data" description="Connection to the 'products_data' query in the workbook." type="100" refreshedVersion="7" minRefreshableVersion="5">
    <extLst>
      <ext xmlns:x15="http://schemas.microsoft.com/office/spreadsheetml/2010/11/main" uri="{DE250136-89BD-433C-8126-D09CA5730AF9}">
        <x15:connection id="5313b5d2-a7e4-476d-957a-51d70882456c"/>
      </ext>
    </extLst>
  </connection>
  <connection id="3" xr16:uid="{666208A5-669C-4229-AA43-CAAAAE59B5D9}" name="Query - sales_data" description="Connection to the 'sales_data' query in the workbook." type="100" refreshedVersion="7" minRefreshableVersion="5">
    <extLst>
      <ext xmlns:x15="http://schemas.microsoft.com/office/spreadsheetml/2010/11/main" uri="{DE250136-89BD-433C-8126-D09CA5730AF9}">
        <x15:connection id="b448f0f1-5fee-43cb-b466-bc4c0b226b1d"/>
      </ext>
    </extLst>
  </connection>
  <connection id="4" xr16:uid="{0B5D8713-451C-468F-B9BD-0F595CCEC37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<sst xmlns="http://schemas.openxmlformats.org/spreadsheetml/2006/main" count="86" uniqueCount="43">
  <si>
    <t>August</t>
  </si>
  <si>
    <t>Monday</t>
  </si>
  <si>
    <t>September</t>
  </si>
  <si>
    <t>Thursday</t>
  </si>
  <si>
    <t>Friday</t>
  </si>
  <si>
    <t>Tuesday</t>
  </si>
  <si>
    <t>May</t>
  </si>
  <si>
    <t>Saturday</t>
  </si>
  <si>
    <t>Sunday</t>
  </si>
  <si>
    <t>Wednesday</t>
  </si>
  <si>
    <t>April</t>
  </si>
  <si>
    <t>October</t>
  </si>
  <si>
    <t>Grand Total</t>
  </si>
  <si>
    <t>Row Labels</t>
  </si>
  <si>
    <t>South-West</t>
  </si>
  <si>
    <t>January</t>
  </si>
  <si>
    <t>Unit Price</t>
  </si>
  <si>
    <t>Central</t>
  </si>
  <si>
    <t>East</t>
  </si>
  <si>
    <t>North</t>
  </si>
  <si>
    <t>South</t>
  </si>
  <si>
    <t>West</t>
  </si>
  <si>
    <t>Total Transaction</t>
  </si>
  <si>
    <t>Number Of Customer</t>
  </si>
  <si>
    <t>Month</t>
  </si>
  <si>
    <t>Region</t>
  </si>
  <si>
    <t>Store</t>
  </si>
  <si>
    <t>Mike Davis</t>
  </si>
  <si>
    <t>Dustin Medina</t>
  </si>
  <si>
    <t>Brittany Johnson</t>
  </si>
  <si>
    <t>David Brennan</t>
  </si>
  <si>
    <t>Kerry Collins</t>
  </si>
  <si>
    <t>Jessica Mora</t>
  </si>
  <si>
    <t>Taylor Clarke</t>
  </si>
  <si>
    <t>Marvin Hamilton</t>
  </si>
  <si>
    <t>Jonathan Andrade</t>
  </si>
  <si>
    <t>Dr. Elizabeth Johnston DDS</t>
  </si>
  <si>
    <t>Total Revenue</t>
  </si>
  <si>
    <t>Total Reveneu</t>
  </si>
  <si>
    <t>customer</t>
  </si>
  <si>
    <t>(blank)</t>
  </si>
  <si>
    <t>Sum of SaleAmount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</si>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</sst>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0"/>
    <numFmt numFmtId="165" formatCode="&quot;$&quot;#,##0.0"/>
    <numFmt numFmtId="167" formatCode="_(* #,##0_);_(* \(#,##0\);_(* &quot;-&quot;??_);_(@_)"/>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2"/>
      <color theme="1"/>
      <name val="Calibri"/>
      <family val="2"/>
      <scheme val="minor"/>
    </font>
    <font>
      <b/>
      <sz val="10"/>
      <color theme="0"/>
      <name val="Arial Black"/>
    </font>
  </fonts>
  <fills count="4">
    <fill>
      <patternFill patternType="none"/>
    </fill>
    <fill>
      <patternFill patternType="gray125"/>
    </fill>
    <fill>
      <patternFill patternType="solid">
        <fgColor theme="0" tint="-0.14999847407452621"/>
        <bgColor indexed="64"/>
      </patternFill>
    </fill>
    <fill>
      <patternFill patternType="solid">
        <fgColor theme="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left" indent="2"/>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1" applyNumberFormat="1" applyFont="1" applyFill="1"/>
    <xf numFmtId="0" fontId="0" fillId="2" borderId="0" xfId="0" applyFill="1"/>
    <xf numFmtId="0" fontId="4" fillId="2" borderId="0" xfId="1" applyNumberFormat="1" applyFont="1" applyFill="1"/>
    <xf numFmtId="2" fontId="0" fillId="2" borderId="0" xfId="1" applyNumberFormat="1" applyFont="1" applyFill="1"/>
    <xf numFmtId="0" fontId="3" fillId="3" borderId="0" xfId="0" applyFont="1" applyFill="1" applyAlignment="1">
      <alignment horizontal="left"/>
    </xf>
    <xf numFmtId="0" fontId="2" fillId="3" borderId="0" xfId="0" applyFont="1" applyFill="1" applyAlignment="1">
      <alignment horizontal="left"/>
    </xf>
    <xf numFmtId="0" fontId="3" fillId="3" borderId="0" xfId="0" applyFont="1" applyFill="1"/>
    <xf numFmtId="0" fontId="5" fillId="3" borderId="0" xfId="0" applyFont="1" applyFill="1" applyAlignment="1">
      <alignment horizontal="left"/>
    </xf>
    <xf numFmtId="167" fontId="0" fillId="2" borderId="0" xfId="2" applyNumberFormat="1" applyFont="1" applyFill="1"/>
    <xf numFmtId="0" fontId="0" fillId="2" borderId="0" xfId="0" applyFill="1" applyAlignment="1">
      <alignment horizontal="left"/>
    </xf>
  </cellXfs>
  <cellStyles count="3">
    <cellStyle name="Comma" xfId="2" builtinId="3"/>
    <cellStyle name="Normal" xfId="0" builtinId="0"/>
    <cellStyle name="Percent" xfId="1" builtinId="5"/>
  </cellStyles>
  <dxfs count="102">
    <dxf>
      <font>
        <color theme="5"/>
      </font>
    </dxf>
    <dxf>
      <font>
        <b/>
      </font>
    </dxf>
    <dxf>
      <font>
        <name val="Arial Black"/>
        <scheme val="none"/>
      </font>
    </dxf>
    <dxf>
      <font>
        <sz val="10"/>
      </font>
    </dxf>
    <dxf>
      <fill>
        <patternFill patternType="solid">
          <bgColor theme="1"/>
        </patternFill>
      </fill>
    </dxf>
    <dxf>
      <font>
        <color theme="0"/>
      </font>
    </dxf>
    <dxf>
      <font>
        <color theme="5"/>
      </font>
    </dxf>
    <dxf>
      <font>
        <b/>
      </font>
    </dxf>
    <dxf>
      <font>
        <name val="Arial Black"/>
        <scheme val="none"/>
      </font>
    </dxf>
    <dxf>
      <font>
        <sz val="10"/>
      </font>
    </dxf>
    <dxf>
      <fill>
        <patternFill patternType="solid">
          <bgColor theme="1"/>
        </patternFill>
      </fill>
    </dxf>
    <dxf>
      <font>
        <color theme="0"/>
      </font>
    </dxf>
    <dxf>
      <font>
        <color theme="5"/>
      </font>
    </dxf>
    <dxf>
      <font>
        <b/>
      </font>
    </dxf>
    <dxf>
      <font>
        <name val="Arial Black"/>
        <scheme val="none"/>
      </font>
    </dxf>
    <dxf>
      <font>
        <sz val="10"/>
      </font>
    </dxf>
    <dxf>
      <fill>
        <patternFill patternType="solid">
          <bgColor theme="1"/>
        </patternFill>
      </fill>
    </dxf>
    <dxf>
      <font>
        <color theme="0"/>
      </font>
    </dxf>
    <dxf>
      <font>
        <color theme="5"/>
      </font>
    </dxf>
    <dxf>
      <font>
        <b/>
      </font>
    </dxf>
    <dxf>
      <font>
        <name val="Arial Black"/>
        <scheme val="none"/>
      </font>
    </dxf>
    <dxf>
      <font>
        <sz val="10"/>
      </font>
    </dxf>
    <dxf>
      <fill>
        <patternFill patternType="solid">
          <bgColor theme="1"/>
        </patternFill>
      </fill>
    </dxf>
    <dxf>
      <font>
        <color theme="0"/>
      </font>
    </dxf>
    <dxf>
      <fill>
        <patternFill patternType="solid">
          <bgColor rgb="FFFFC000"/>
        </patternFill>
      </fill>
    </dxf>
    <dxf>
      <fill>
        <patternFill patternType="solid">
          <bgColor rgb="FFFFC000"/>
        </patternFill>
      </fill>
    </dxf>
    <dxf>
      <fill>
        <patternFill>
          <bgColor theme="5" tint="0.79998168889431442"/>
        </patternFill>
      </fill>
    </dxf>
    <dxf>
      <fill>
        <patternFill patternType="solid">
          <bgColor theme="1"/>
        </patternFill>
      </fill>
    </dxf>
    <dxf>
      <font>
        <color theme="0"/>
      </font>
    </dxf>
    <dxf>
      <fill>
        <patternFill>
          <bgColor theme="1"/>
        </patternFill>
      </fill>
    </dxf>
    <dxf>
      <font>
        <color theme="0"/>
      </font>
    </dxf>
    <dxf>
      <fill>
        <patternFill patternType="solid">
          <bgColor theme="1"/>
        </patternFill>
      </fill>
    </dxf>
    <dxf>
      <font>
        <color theme="0"/>
      </font>
    </dxf>
    <dxf>
      <font>
        <b/>
      </font>
    </dxf>
    <dxf>
      <font>
        <color theme="5"/>
      </font>
    </dxf>
    <dxf>
      <font>
        <b/>
      </font>
    </dxf>
    <dxf>
      <font>
        <name val="Arial Black"/>
        <scheme val="none"/>
      </font>
    </dxf>
    <dxf>
      <font>
        <sz val="10"/>
      </font>
    </dxf>
    <dxf>
      <fill>
        <patternFill patternType="solid">
          <bgColor theme="1"/>
        </patternFill>
      </fill>
    </dxf>
    <dxf>
      <font>
        <color theme="0"/>
      </font>
    </dxf>
    <dxf>
      <numFmt numFmtId="165" formatCode="&quot;$&quot;#,##0.0"/>
    </dxf>
    <dxf>
      <numFmt numFmtId="165" formatCode="&quot;$&quot;#,##0.0"/>
    </dxf>
    <dxf>
      <fill>
        <patternFill patternType="solid">
          <bgColor theme="1"/>
        </patternFill>
      </fill>
    </dxf>
    <dxf>
      <font>
        <color theme="0"/>
      </font>
    </dxf>
    <dxf>
      <font>
        <b/>
      </font>
    </dxf>
    <dxf>
      <fill>
        <patternFill patternType="solid">
          <bgColor theme="1"/>
        </patternFill>
      </fill>
    </dxf>
    <dxf>
      <font>
        <color theme="0"/>
      </font>
    </dxf>
    <dxf>
      <font>
        <b/>
      </font>
    </dxf>
    <dxf>
      <fill>
        <patternFill patternType="solid">
          <bgColor theme="1"/>
        </patternFill>
      </fill>
    </dxf>
    <dxf>
      <font>
        <color theme="0"/>
      </font>
    </dxf>
    <dxf>
      <numFmt numFmtId="165" formatCode="&quot;$&quot;#,##0.0"/>
    </dxf>
    <dxf>
      <numFmt numFmtId="165" formatCode="&quot;$&quot;#,##0.0"/>
    </dxf>
    <dxf>
      <fill>
        <patternFill patternType="solid">
          <bgColor theme="1"/>
        </patternFill>
      </fill>
    </dxf>
    <dxf>
      <font>
        <color theme="0"/>
      </font>
    </dxf>
    <dxf>
      <font>
        <b/>
      </font>
    </dxf>
    <dxf>
      <fill>
        <patternFill patternType="solid">
          <bgColor theme="1"/>
        </patternFill>
      </fill>
    </dxf>
    <dxf>
      <font>
        <color theme="0"/>
      </font>
    </dxf>
    <dxf>
      <font>
        <b/>
      </font>
    </dxf>
    <dxf>
      <font>
        <color theme="5"/>
      </font>
    </dxf>
    <dxf>
      <font>
        <b/>
      </font>
    </dxf>
    <dxf>
      <font>
        <name val="Arial Black"/>
        <scheme val="none"/>
      </font>
    </dxf>
    <dxf>
      <font>
        <sz val="10"/>
      </font>
    </dxf>
    <dxf>
      <fill>
        <patternFill patternType="solid">
          <bgColor theme="1"/>
        </patternFill>
      </fill>
    </dxf>
    <dxf>
      <font>
        <color theme="0"/>
      </font>
    </dxf>
    <dxf>
      <fill>
        <patternFill patternType="solid">
          <bgColor theme="1"/>
        </patternFill>
      </fill>
    </dxf>
    <dxf>
      <font>
        <color theme="0"/>
      </font>
    </dxf>
    <dxf>
      <font>
        <b/>
      </font>
    </dxf>
    <dxf>
      <fill>
        <patternFill patternType="solid">
          <bgColor theme="1"/>
        </patternFill>
      </fill>
    </dxf>
    <dxf>
      <font>
        <color theme="0"/>
      </font>
    </dxf>
    <dxf>
      <fill>
        <patternFill patternType="solid">
          <bgColor rgb="FFFFC000"/>
        </patternFill>
      </fill>
    </dxf>
    <dxf>
      <fill>
        <patternFill patternType="solid">
          <bgColor rgb="FFFFC000"/>
        </patternFill>
      </fill>
    </dxf>
    <dxf>
      <fill>
        <patternFill>
          <bgColor theme="5" tint="0.79998168889431442"/>
        </patternFill>
      </fill>
    </dxf>
    <dxf>
      <fill>
        <patternFill patternType="solid">
          <bgColor theme="1"/>
        </patternFill>
      </fill>
    </dxf>
    <dxf>
      <font>
        <color theme="0"/>
      </font>
    </dxf>
    <dxf>
      <fill>
        <patternFill>
          <bgColor theme="1"/>
        </patternFill>
      </fill>
    </dxf>
    <dxf>
      <font>
        <color theme="0"/>
      </font>
    </dxf>
    <dxf>
      <font>
        <b/>
      </font>
    </dxf>
    <dxf>
      <font>
        <color theme="0"/>
      </font>
    </dxf>
    <dxf>
      <fill>
        <patternFill patternType="solid">
          <bgColor theme="1"/>
        </patternFill>
      </fill>
    </dxf>
    <dxf>
      <numFmt numFmtId="165" formatCode="&quot;$&quot;#,##0.0"/>
    </dxf>
    <dxf>
      <numFmt numFmtId="165" formatCode="&quot;$&quot;#,##0.0"/>
    </dxf>
    <dxf>
      <font>
        <color theme="0"/>
      </font>
    </dxf>
    <dxf>
      <fill>
        <patternFill>
          <bgColor theme="1"/>
        </patternFill>
      </fill>
    </dxf>
    <dxf>
      <font>
        <color theme="0"/>
      </font>
    </dxf>
    <dxf>
      <fill>
        <patternFill patternType="solid">
          <bgColor theme="1"/>
        </patternFill>
      </fill>
    </dxf>
    <dxf>
      <fill>
        <patternFill>
          <bgColor theme="5" tint="0.79998168889431442"/>
        </patternFill>
      </fill>
    </dxf>
    <dxf>
      <fill>
        <patternFill patternType="solid">
          <bgColor rgb="FFFFC000"/>
        </patternFill>
      </fill>
    </dxf>
    <dxf>
      <fill>
        <patternFill patternType="solid">
          <bgColor rgb="FFFFC000"/>
        </patternFill>
      </fill>
    </dxf>
    <dxf>
      <font>
        <color theme="0"/>
      </font>
    </dxf>
    <dxf>
      <fill>
        <patternFill patternType="solid">
          <bgColor theme="1"/>
        </patternFill>
      </fill>
    </dxf>
    <dxf>
      <font>
        <b/>
      </font>
    </dxf>
    <dxf>
      <font>
        <color theme="0"/>
      </font>
    </dxf>
    <dxf>
      <fill>
        <patternFill patternType="solid">
          <bgColor theme="1"/>
        </patternFill>
      </fill>
    </dxf>
    <dxf>
      <font>
        <b/>
      </font>
    </dxf>
    <dxf>
      <font>
        <color theme="0"/>
      </font>
    </dxf>
    <dxf>
      <fill>
        <patternFill patternType="solid">
          <bgColor theme="1"/>
        </patternFill>
      </fill>
    </dxf>
    <dxf>
      <font>
        <color theme="0"/>
      </font>
    </dxf>
    <dxf>
      <fill>
        <patternFill patternType="solid">
          <bgColor theme="1"/>
        </patternFill>
      </fill>
    </dxf>
    <dxf>
      <font>
        <sz val="10"/>
      </font>
    </dxf>
    <dxf>
      <font>
        <name val="Arial Black"/>
        <scheme val="none"/>
      </font>
    </dxf>
    <dxf>
      <font>
        <b/>
      </font>
    </dxf>
    <dxf>
      <font>
        <color theme="5"/>
      </font>
    </dxf>
  </dxfs>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ivotCacheDefinition" Target="pivotCache/pivotCacheDefinition12.xml"/><Relationship Id="rId26" Type="http://schemas.openxmlformats.org/officeDocument/2006/relationships/pivotTable" Target="pivotTables/pivotTable5.xml"/><Relationship Id="rId39" Type="http://schemas.openxmlformats.org/officeDocument/2006/relationships/customXml" Target="../customXml/item4.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1/relationships/timelineCache" Target="timelineCaches/timelineCache1.xml"/><Relationship Id="rId11" Type="http://schemas.openxmlformats.org/officeDocument/2006/relationships/pivotCacheDefinition" Target="pivotCache/pivotCacheDefinition8.xml"/><Relationship Id="rId24" Type="http://schemas.openxmlformats.org/officeDocument/2006/relationships/pivotTable" Target="pivotTables/pivotTable3.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pivotCacheDefinition" Target="pivotCache/pivotCacheDefinition2.xml"/><Relationship Id="rId61"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microsoft.com/office/2007/relationships/slicerCache" Target="slicerCaches/slicerCache2.xml"/><Relationship Id="rId22" Type="http://schemas.openxmlformats.org/officeDocument/2006/relationships/pivotTable" Target="pivotTables/pivotTable1.xml"/><Relationship Id="rId27" Type="http://schemas.openxmlformats.org/officeDocument/2006/relationships/pivotTable" Target="pivotTables/pivotTable6.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1.xml"/><Relationship Id="rId25" Type="http://schemas.openxmlformats.org/officeDocument/2006/relationships/pivotTable" Target="pivotTables/pivotTable4.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pivotTable" Target="pivotTables/pivotTable2.xml"/><Relationship Id="rId28" Type="http://schemas.openxmlformats.org/officeDocument/2006/relationships/pivotCacheDefinition" Target="pivotCache/pivotCacheDefinition16.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7.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800" b="0" i="0" u="none" strike="noStrike" kern="120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Top Customer by Transaction </a:t>
            </a:r>
          </a:p>
        </c:rich>
      </c:tx>
      <c:overlay val="0"/>
      <c:spPr>
        <a:noFill/>
        <a:ln>
          <a:noFill/>
        </a:ln>
        <a:effectLst/>
      </c:spPr>
      <c:txPr>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90351137447588"/>
          <c:y val="0.17505609351748985"/>
          <c:w val="0.55901276995070137"/>
          <c:h val="0.68636981984722734"/>
        </c:manualLayout>
      </c:layout>
      <c:barChart>
        <c:barDir val="bar"/>
        <c:grouping val="clustered"/>
        <c:varyColors val="0"/>
        <c:ser>
          <c:idx val="0"/>
          <c:order val="0"/>
          <c:tx>
            <c:v>Total</c:v>
          </c:tx>
          <c:spPr>
            <a:solidFill>
              <a:schemeClr val="accent2"/>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Marvin Hamilton</c:v>
              </c:pt>
              <c:pt idx="1">
                <c:v>David Brennan</c:v>
              </c:pt>
              <c:pt idx="2">
                <c:v>Dr. Elizabeth Johnston DDS</c:v>
              </c:pt>
              <c:pt idx="3">
                <c:v>Brittany Johnson</c:v>
              </c:pt>
              <c:pt idx="4">
                <c:v>Taylor Clarke</c:v>
              </c:pt>
              <c:pt idx="5">
                <c:v>Dustin Medina</c:v>
              </c:pt>
              <c:pt idx="6">
                <c:v>Jessica Mora</c:v>
              </c:pt>
            </c:strLit>
          </c:cat>
          <c:val>
            <c:numLit>
              <c:formatCode>General</c:formatCode>
              <c:ptCount val="7"/>
              <c:pt idx="0">
                <c:v>17</c:v>
              </c:pt>
              <c:pt idx="1">
                <c:v>17</c:v>
              </c:pt>
              <c:pt idx="2">
                <c:v>18</c:v>
              </c:pt>
              <c:pt idx="3">
                <c:v>18</c:v>
              </c:pt>
              <c:pt idx="4">
                <c:v>19</c:v>
              </c:pt>
              <c:pt idx="5">
                <c:v>21</c:v>
              </c:pt>
              <c:pt idx="6">
                <c:v>22</c:v>
              </c:pt>
            </c:numLit>
          </c:val>
          <c:extLst>
            <c:ext xmlns:c16="http://schemas.microsoft.com/office/drawing/2014/chart" uri="{C3380CC4-5D6E-409C-BE32-E72D297353CC}">
              <c16:uniqueId val="{00000000-5FFF-400C-BA17-E89B595E066B}"/>
            </c:ext>
          </c:extLst>
        </c:ser>
        <c:dLbls>
          <c:dLblPos val="outEnd"/>
          <c:showLegendKey val="0"/>
          <c:showVal val="1"/>
          <c:showCatName val="0"/>
          <c:showSerName val="0"/>
          <c:showPercent val="0"/>
          <c:showBubbleSize val="0"/>
        </c:dLbls>
        <c:gapWidth val="15"/>
        <c:overlap val="100"/>
        <c:axId val="2061117343"/>
        <c:axId val="2061116511"/>
      </c:barChart>
      <c:catAx>
        <c:axId val="2061117343"/>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61116511"/>
        <c:crosses val="autoZero"/>
        <c:auto val="1"/>
        <c:lblAlgn val="ctr"/>
        <c:lblOffset val="100"/>
        <c:noMultiLvlLbl val="0"/>
        <c:extLst>
          <c:ext xmlns:c15="http://schemas.microsoft.com/office/drawing/2012/chart" uri="{F40574EE-89B7-4290-83BB-5DA773EAF853}">
            <c15:numFmt c:formatCode="General" c:sourceLinked="1"/>
          </c:ext>
        </c:extLst>
      </c:catAx>
      <c:valAx>
        <c:axId val="2061116511"/>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6111734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accent2"/>
      </a:solidFill>
      <a:round/>
    </a:ln>
    <a:effectLst>
      <a:outerShdw blurRad="50800" dist="38100" dir="5400000" algn="t" rotWithShape="0">
        <a:prstClr val="black">
          <a:alpha val="40000"/>
        </a:prstClr>
      </a:outerShdw>
    </a:effectLst>
  </c:spPr>
  <c:txPr>
    <a:bodyPr/>
    <a:lstStyle/>
    <a:p>
      <a:pPr algn="ctr" rtl="0">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[SMART_STORE_ANALYSIS.xlsx]PivotChartTable12</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800" b="0" i="0" u="none" strike="noStrike" kern="120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Revenue Perfomance By Month</a:t>
            </a:r>
          </a:p>
        </c:rich>
      </c:tx>
      <c:layout>
        <c:manualLayout>
          <c:xMode val="edge"/>
          <c:yMode val="edge"/>
          <c:x val="0.14267908683112276"/>
          <c:y val="6.2551980770542207E-2"/>
        </c:manualLayout>
      </c:layout>
      <c:overlay val="0"/>
      <c:spPr>
        <a:noFill/>
        <a:ln>
          <a:noFill/>
        </a:ln>
        <a:effectLst/>
      </c:spPr>
      <c:txPr>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pivotFmt>
      <c:pivotFmt>
        <c:idx val="5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pivotFmt>
      <c:pivotFmt>
        <c:idx val="5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pivotFmt>
      <c:pivotFmt>
        <c:idx val="5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pivotFmt>
      <c:pivotFmt>
        <c:idx val="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pivotFmt>
    </c:pivotFmts>
    <c:plotArea>
      <c:layout>
        <c:manualLayout>
          <c:layoutTarget val="inner"/>
          <c:xMode val="edge"/>
          <c:yMode val="edge"/>
          <c:x val="0.17658254808312895"/>
          <c:y val="0.19574194892849769"/>
          <c:w val="0.71190250433355518"/>
          <c:h val="0.61434019762593406"/>
        </c:manualLayout>
      </c:layout>
      <c:barChart>
        <c:barDir val="bar"/>
        <c:grouping val="clustered"/>
        <c:varyColors val="0"/>
        <c:ser>
          <c:idx val="0"/>
          <c:order val="0"/>
          <c:tx>
            <c:v>Total</c:v>
          </c:tx>
          <c:spPr>
            <a:solidFill>
              <a:schemeClr val="accent2"/>
            </a:solidFill>
            <a:ln>
              <a:noFill/>
            </a:ln>
            <a:effectLst/>
          </c:spPr>
          <c:invertIfNegative val="0"/>
          <c:dPt>
            <c:idx val="1"/>
            <c:invertIfNegative val="0"/>
            <c:bubble3D val="0"/>
            <c:spPr>
              <a:solidFill>
                <a:schemeClr val="accent2"/>
              </a:solidFill>
              <a:ln>
                <a:noFill/>
              </a:ln>
              <a:effectLst>
                <a:outerShdw blurRad="50800" dist="50800" dir="5400000" sx="8000" sy="8000" algn="ctr" rotWithShape="0">
                  <a:srgbClr val="000000">
                    <a:alpha val="60000"/>
                  </a:srgbClr>
                </a:outerShdw>
                <a:softEdge rad="0"/>
              </a:effectLst>
              <a:scene3d>
                <a:camera prst="orthographicFront"/>
                <a:lightRig rig="threePt" dir="t"/>
              </a:scene3d>
              <a:sp3d/>
            </c:spPr>
            <c:extLst>
              <c:ext xmlns:c16="http://schemas.microsoft.com/office/drawing/2014/chart" uri="{C3380CC4-5D6E-409C-BE32-E72D297353CC}">
                <c16:uniqueId val="{00000001-6E59-4FB0-B0F3-C7E368F29276}"/>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Lit>
              <c:ptCount val="10"/>
              <c:pt idx="0">
                <c:v>November</c:v>
              </c:pt>
              <c:pt idx="1">
                <c:v>December</c:v>
              </c:pt>
              <c:pt idx="2">
                <c:v>February</c:v>
              </c:pt>
              <c:pt idx="3">
                <c:v>July</c:v>
              </c:pt>
              <c:pt idx="4">
                <c:v>June</c:v>
              </c:pt>
              <c:pt idx="5">
                <c:v>April</c:v>
              </c:pt>
              <c:pt idx="6">
                <c:v>August</c:v>
              </c:pt>
              <c:pt idx="7">
                <c:v>October</c:v>
              </c:pt>
              <c:pt idx="8">
                <c:v>September</c:v>
              </c:pt>
              <c:pt idx="9">
                <c:v>May</c:v>
              </c:pt>
            </c:strLit>
          </c:cat>
          <c:val>
            <c:numLit>
              <c:formatCode>\$#,##0.0;\(\$#,##0.0\);\$#,##0.0</c:formatCode>
              <c:ptCount val="10"/>
              <c:pt idx="0">
                <c:v>144646.21</c:v>
              </c:pt>
              <c:pt idx="1">
                <c:v>150421.44</c:v>
              </c:pt>
              <c:pt idx="2">
                <c:v>163730.78</c:v>
              </c:pt>
              <c:pt idx="3">
                <c:v>167217.63</c:v>
              </c:pt>
              <c:pt idx="4">
                <c:v>167277.81</c:v>
              </c:pt>
              <c:pt idx="5">
                <c:v>175538.24</c:v>
              </c:pt>
              <c:pt idx="6">
                <c:v>198175.09</c:v>
              </c:pt>
              <c:pt idx="7">
                <c:v>202212.41</c:v>
              </c:pt>
              <c:pt idx="8">
                <c:v>220893.02</c:v>
              </c:pt>
              <c:pt idx="9">
                <c:v>236655.35999999999</c:v>
              </c:pt>
            </c:numLit>
          </c:val>
          <c:extLst>
            <c:ext xmlns:c16="http://schemas.microsoft.com/office/drawing/2014/chart" uri="{C3380CC4-5D6E-409C-BE32-E72D297353CC}">
              <c16:uniqueId val="{00000002-6E59-4FB0-B0F3-C7E368F29276}"/>
            </c:ext>
          </c:extLst>
        </c:ser>
        <c:dLbls>
          <c:dLblPos val="outEnd"/>
          <c:showLegendKey val="0"/>
          <c:showVal val="1"/>
          <c:showCatName val="0"/>
          <c:showSerName val="0"/>
          <c:showPercent val="0"/>
          <c:showBubbleSize val="0"/>
        </c:dLbls>
        <c:gapWidth val="15"/>
        <c:axId val="946960895"/>
        <c:axId val="946966303"/>
      </c:barChart>
      <c:catAx>
        <c:axId val="946960895"/>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6303"/>
        <c:crosses val="autoZero"/>
        <c:auto val="1"/>
        <c:lblAlgn val="ctr"/>
        <c:lblOffset val="100"/>
        <c:noMultiLvlLbl val="0"/>
        <c:extLst>
          <c:ext xmlns:c15="http://schemas.microsoft.com/office/drawing/2012/chart" uri="{F40574EE-89B7-4290-83BB-5DA773EAF853}">
            <c15:numFmt c:formatCode="General" c:sourceLinked="1"/>
          </c:ext>
        </c:extLst>
      </c:catAx>
      <c:valAx>
        <c:axId val="946966303"/>
        <c:scaling>
          <c:orientation val="minMax"/>
          <c:min val="500"/>
        </c:scaling>
        <c:delete val="0"/>
        <c:axPos val="b"/>
        <c:numFmt formatCode="\$#,##0.0;\(\$#,##0.0\);\$#,##0.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0895"/>
        <c:crosses val="autoZero"/>
        <c:crossBetween val="between"/>
        <c:extLst>
          <c:ext xmlns:c15="http://schemas.microsoft.com/office/drawing/2012/chart" uri="{F40574EE-89B7-4290-83BB-5DA773EAF853}">
            <c15:numFmt c:formatCode="\$#,##0.0;\(\$#,##0.0\);\$#,##0.0" c:sourceLinked="1"/>
          </c:ext>
        </c:extLst>
      </c:valAx>
      <c:spPr>
        <a:solidFill>
          <a:schemeClr val="bg2"/>
        </a:solidFill>
        <a:ln>
          <a:noFill/>
        </a:ln>
        <a:effectLst/>
      </c:spPr>
    </c:plotArea>
    <c:plotVisOnly val="1"/>
    <c:dispBlanksAs val="gap"/>
    <c:showDLblsOverMax val="0"/>
    <c:extLst/>
  </c:chart>
  <c:spPr>
    <a:solidFill>
      <a:schemeClr val="bg2"/>
    </a:solidFill>
    <a:ln w="6350" cap="flat" cmpd="sng" algn="ctr">
      <a:solidFill>
        <a:schemeClr val="accent2"/>
      </a:solidFill>
      <a:prstDash val="solid"/>
      <a:round/>
    </a:ln>
    <a:effectLst>
      <a:outerShdw blurRad="50800" dist="38100" dir="5400000" algn="t"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[SMART_STORE_ANALYSIS.xlsx]PivotChartTable13</c15:name>
        <c15:fmtId val="1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800" b="0" i="0" u="none" strike="noStrike" kern="120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Revenue Perfomance By Category</a:t>
            </a:r>
          </a:p>
        </c:rich>
      </c:tx>
      <c:layout>
        <c:manualLayout>
          <c:xMode val="edge"/>
          <c:yMode val="edge"/>
          <c:x val="0.19711222200965176"/>
          <c:y val="7.2827876331057917E-2"/>
        </c:manualLayout>
      </c:layout>
      <c:overlay val="0"/>
      <c:spPr>
        <a:noFill/>
        <a:ln>
          <a:noFill/>
        </a:ln>
        <a:effectLst/>
      </c:spPr>
      <c:txPr>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3179406239141"/>
          <c:y val="0.20807079010836277"/>
          <c:w val="0.71190250433355518"/>
          <c:h val="0.61434019762593406"/>
        </c:manualLayout>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Lit>
              <c:ptCount val="4"/>
              <c:pt idx="0">
                <c:v>Home</c:v>
              </c:pt>
              <c:pt idx="1">
                <c:v>Electronics</c:v>
              </c:pt>
              <c:pt idx="2">
                <c:v>Clothing</c:v>
              </c:pt>
              <c:pt idx="3">
                <c:v>Office</c:v>
              </c:pt>
            </c:strLit>
          </c:cat>
          <c:val>
            <c:numLit>
              <c:formatCode>\$#,##0.0;\(\$#,##0.0\);\$#,##0.0</c:formatCode>
              <c:ptCount val="4"/>
              <c:pt idx="0">
                <c:v>581360.57999999996</c:v>
              </c:pt>
              <c:pt idx="1">
                <c:v>504216.25</c:v>
              </c:pt>
              <c:pt idx="2">
                <c:v>480925.54</c:v>
              </c:pt>
              <c:pt idx="3">
                <c:v>460254.61</c:v>
              </c:pt>
            </c:numLit>
          </c:val>
          <c:extLst>
            <c:ext xmlns:c16="http://schemas.microsoft.com/office/drawing/2014/chart" uri="{C3380CC4-5D6E-409C-BE32-E72D297353CC}">
              <c16:uniqueId val="{00000004-756E-4CBD-81EF-AE83FEEB1446}"/>
            </c:ext>
          </c:extLst>
        </c:ser>
        <c:dLbls>
          <c:dLblPos val="outEnd"/>
          <c:showLegendKey val="0"/>
          <c:showVal val="1"/>
          <c:showCatName val="0"/>
          <c:showSerName val="0"/>
          <c:showPercent val="0"/>
          <c:showBubbleSize val="0"/>
        </c:dLbls>
        <c:gapWidth val="15"/>
        <c:overlap val="-50"/>
        <c:axId val="946960895"/>
        <c:axId val="946966303"/>
      </c:barChart>
      <c:catAx>
        <c:axId val="94696089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6303"/>
        <c:crosses val="autoZero"/>
        <c:auto val="1"/>
        <c:lblAlgn val="ctr"/>
        <c:lblOffset val="100"/>
        <c:noMultiLvlLbl val="0"/>
        <c:extLst>
          <c:ext xmlns:c15="http://schemas.microsoft.com/office/drawing/2012/chart" uri="{F40574EE-89B7-4290-83BB-5DA773EAF853}">
            <c15:numFmt c:formatCode="General" c:sourceLinked="1"/>
          </c:ext>
        </c:extLst>
      </c:catAx>
      <c:valAx>
        <c:axId val="946966303"/>
        <c:scaling>
          <c:orientation val="minMax"/>
          <c:min val="500"/>
        </c:scaling>
        <c:delete val="0"/>
        <c:axPos val="l"/>
        <c:numFmt formatCode="\$#,##0.0;\(\$#,##0.0\);\$#,##0.0" sourceLinked="0"/>
        <c:majorTickMark val="out"/>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0895"/>
        <c:crosses val="autoZero"/>
        <c:crossBetween val="between"/>
        <c:extLst>
          <c:ext xmlns:c15="http://schemas.microsoft.com/office/drawing/2012/chart" uri="{F40574EE-89B7-4290-83BB-5DA773EAF853}">
            <c15:numFmt c:formatCode="\$#,##0.0;\(\$#,##0.0\);\$#,##0.0" c:sourceLinked="1"/>
          </c:ext>
        </c:extLst>
      </c:valAx>
      <c:spPr>
        <a:solidFill>
          <a:schemeClr val="bg2"/>
        </a:solidFill>
        <a:ln>
          <a:noFill/>
        </a:ln>
        <a:effectLst/>
      </c:spPr>
    </c:plotArea>
    <c:plotVisOnly val="1"/>
    <c:dispBlanksAs val="gap"/>
    <c:showDLblsOverMax val="0"/>
    <c:extLst/>
  </c:chart>
  <c:spPr>
    <a:solidFill>
      <a:schemeClr val="bg2"/>
    </a:solidFill>
    <a:ln w="6350" cap="rnd" cmpd="sng" algn="ctr">
      <a:solidFill>
        <a:schemeClr val="accent2"/>
      </a:solidFill>
      <a:prstDash val="solid"/>
      <a:round/>
    </a:ln>
    <a:effectLst>
      <a:outerShdw blurRad="50800" dist="38100" dir="5400000" algn="t"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[SMART_STORE_ANALYSIS.xlsx]PivotChartTable7</c15:name>
        <c15:fmtId val="3"/>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800" b="0" i="0" u="none" strike="noStrike" kern="120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Revenue Perfomance By Products</a:t>
            </a:r>
          </a:p>
        </c:rich>
      </c:tx>
      <c:layout>
        <c:manualLayout>
          <c:xMode val="edge"/>
          <c:yMode val="edge"/>
          <c:x val="0.14854784060410958"/>
          <c:y val="6.8733783277090357E-2"/>
        </c:manualLayout>
      </c:layout>
      <c:overlay val="0"/>
      <c:spPr>
        <a:noFill/>
        <a:ln>
          <a:noFill/>
        </a:ln>
        <a:effectLst/>
      </c:spPr>
      <c:txPr>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a:outerShdw blurRad="508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3179406239141"/>
          <c:y val="0.20807079010836277"/>
          <c:w val="0.71190250433355518"/>
          <c:h val="0.73248380344861952"/>
        </c:manualLayout>
      </c:layout>
      <c:barChart>
        <c:barDir val="bar"/>
        <c:grouping val="clustered"/>
        <c:varyColors val="0"/>
        <c:ser>
          <c:idx val="0"/>
          <c:order val="0"/>
          <c:tx>
            <c:v>Total</c:v>
          </c:tx>
          <c:spPr>
            <a:solidFill>
              <a:schemeClr val="accent2"/>
            </a:solidFill>
            <a:ln>
              <a:noFill/>
            </a:ln>
            <a:effectLst>
              <a:outerShdw blurRad="50800" dir="5400000" algn="ctr" rotWithShape="0">
                <a:srgbClr val="000000">
                  <a:alpha val="43137"/>
                </a:srgb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Home-Of</c:v>
              </c:pt>
              <c:pt idx="1">
                <c:v>Electronics-Be</c:v>
              </c:pt>
              <c:pt idx="2">
                <c:v>Electronics-Letter</c:v>
              </c:pt>
              <c:pt idx="3">
                <c:v>Office-Who</c:v>
              </c:pt>
              <c:pt idx="4">
                <c:v>Office-Soon</c:v>
              </c:pt>
              <c:pt idx="5">
                <c:v>Office-Doctor</c:v>
              </c:pt>
            </c:strLit>
          </c:cat>
          <c:val>
            <c:numLit>
              <c:formatCode>\$#,##0.0;\(\$#,##0.0\);\$#,##0.0</c:formatCode>
              <c:ptCount val="6"/>
              <c:pt idx="0">
                <c:v>45330.87</c:v>
              </c:pt>
              <c:pt idx="1">
                <c:v>45508.6</c:v>
              </c:pt>
              <c:pt idx="2">
                <c:v>45511.32</c:v>
              </c:pt>
              <c:pt idx="3">
                <c:v>45625.94</c:v>
              </c:pt>
              <c:pt idx="4">
                <c:v>48827.08</c:v>
              </c:pt>
              <c:pt idx="5">
                <c:v>57842.080000000002</c:v>
              </c:pt>
            </c:numLit>
          </c:val>
          <c:extLst>
            <c:ext xmlns:c16="http://schemas.microsoft.com/office/drawing/2014/chart" uri="{C3380CC4-5D6E-409C-BE32-E72D297353CC}">
              <c16:uniqueId val="{00000001-5F3D-4853-B8D8-85E45DBD1926}"/>
            </c:ext>
          </c:extLst>
        </c:ser>
        <c:dLbls>
          <c:dLblPos val="outEnd"/>
          <c:showLegendKey val="0"/>
          <c:showVal val="1"/>
          <c:showCatName val="0"/>
          <c:showSerName val="0"/>
          <c:showPercent val="0"/>
          <c:showBubbleSize val="0"/>
        </c:dLbls>
        <c:gapWidth val="15"/>
        <c:overlap val="100"/>
        <c:axId val="946960895"/>
        <c:axId val="946966303"/>
      </c:barChart>
      <c:catAx>
        <c:axId val="946960895"/>
        <c:scaling>
          <c:orientation val="minMax"/>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6303"/>
        <c:crosses val="autoZero"/>
        <c:auto val="1"/>
        <c:lblAlgn val="ctr"/>
        <c:lblOffset val="100"/>
        <c:noMultiLvlLbl val="0"/>
        <c:extLst>
          <c:ext xmlns:c15="http://schemas.microsoft.com/office/drawing/2012/chart" uri="{F40574EE-89B7-4290-83BB-5DA773EAF853}">
            <c15:numFmt c:formatCode="General" c:sourceLinked="1"/>
          </c:ext>
        </c:extLst>
      </c:catAx>
      <c:valAx>
        <c:axId val="946966303"/>
        <c:scaling>
          <c:orientation val="minMax"/>
          <c:min val="500"/>
        </c:scaling>
        <c:delete val="1"/>
        <c:axPos val="b"/>
        <c:numFmt formatCode="\$#,##0.0;\(\$#,##0.0\);\$#,##0.0" sourceLinked="0"/>
        <c:majorTickMark val="out"/>
        <c:minorTickMark val="none"/>
        <c:tickLblPos val="nextTo"/>
        <c:crossAx val="946960895"/>
        <c:crosses val="autoZero"/>
        <c:crossBetween val="between"/>
        <c:extLst>
          <c:ext xmlns:c15="http://schemas.microsoft.com/office/drawing/2012/chart" uri="{F40574EE-89B7-4290-83BB-5DA773EAF853}">
            <c15:numFmt c:formatCode="\$#,##0.0;\(\$#,##0.0\);\$#,##0.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rnd" cmpd="sng" algn="ctr">
      <a:solidFill>
        <a:schemeClr val="accent2"/>
      </a:solidFill>
      <a:round/>
    </a:ln>
    <a:effectLst>
      <a:outerShdw blurRad="50800" dist="38100" dir="5400000" algn="t"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[SMART_STORE_ANALYSIS.xlsx]PivotChartTable8</c15:name>
        <c15:fmtId val="5"/>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Revenue Performance By Each</a:t>
            </a:r>
            <a:r>
              <a:rPr lang="en-US" sz="1800" b="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 </a:t>
            </a:r>
            <a:r>
              <a:rPr lang="en-US" sz="1800" b="0" cap="none" spc="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cs typeface="Arial" panose="020B0604020202020204" pitchFamily="34" charset="0"/>
              </a:rPr>
              <a:t>Store </a:t>
            </a:r>
          </a:p>
        </c:rich>
      </c:tx>
      <c:layout>
        <c:manualLayout>
          <c:xMode val="edge"/>
          <c:yMode val="edge"/>
          <c:x val="0.10023860653781913"/>
          <c:y val="3.6344755970924195E-2"/>
        </c:manualLayout>
      </c:layout>
      <c:overlay val="0"/>
      <c:spPr>
        <a:noFill/>
        <a:ln>
          <a:noFill/>
        </a:ln>
        <a:effectLst/>
      </c:spPr>
      <c:txPr>
        <a:bodyPr rot="0" spcFirstLastPara="1" vertOverflow="ellipsis" vert="horz" wrap="square" anchor="ctr" anchorCtr="1"/>
        <a:lstStyle/>
        <a:p>
          <a:pPr algn="ct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a:outerShdw blurRad="50800" dist="38100" dir="5400000" algn="t" rotWithShape="0">
              <a:prstClr val="black">
                <a:alpha val="40000"/>
              </a:prstClr>
            </a:outerShdw>
          </a:effectLst>
        </c:spPr>
        <c:marker>
          <c:symbol val="none"/>
        </c:marker>
        <c:dLbl>
          <c:idx val="0"/>
          <c:numFmt formatCode="&quot;$&quot;#,##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3179406239141"/>
          <c:y val="0.20807079010836277"/>
          <c:w val="0.71190250433355518"/>
          <c:h val="0.61434019762593406"/>
        </c:manualLayout>
      </c:layout>
      <c:barChart>
        <c:barDir val="col"/>
        <c:grouping val="stacked"/>
        <c:varyColors val="0"/>
        <c:ser>
          <c:idx val="0"/>
          <c:order val="0"/>
          <c:tx>
            <c:v>Total</c:v>
          </c:tx>
          <c:spPr>
            <a:solidFill>
              <a:schemeClr val="accent2"/>
            </a:solidFill>
            <a:ln>
              <a:noFill/>
            </a:ln>
            <a:effectLst>
              <a:outerShdw blurRad="50800" dist="38100" dir="5400000" algn="t" rotWithShape="0">
                <a:prstClr val="black">
                  <a:alpha val="40000"/>
                </a:prstClr>
              </a:outerShdw>
            </a:effectLst>
          </c:spPr>
          <c:invertIfNegative val="0"/>
          <c:dLbls>
            <c:numFmt formatCode="&quot;$&quot;#,##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4"/>
              <c:pt idx="0">
                <c:v>404</c:v>
              </c:pt>
              <c:pt idx="1">
                <c:v>402</c:v>
              </c:pt>
              <c:pt idx="2">
                <c:v>403</c:v>
              </c:pt>
              <c:pt idx="3">
                <c:v>401</c:v>
              </c:pt>
            </c:strLit>
          </c:cat>
          <c:val>
            <c:numLit>
              <c:formatCode>\$#,##0.0;\(\$#,##0.0\);\$#,##0.0</c:formatCode>
              <c:ptCount val="4"/>
              <c:pt idx="0">
                <c:v>553465.42000000004</c:v>
              </c:pt>
              <c:pt idx="1">
                <c:v>498619.84</c:v>
              </c:pt>
              <c:pt idx="2">
                <c:v>490728.85</c:v>
              </c:pt>
              <c:pt idx="3">
                <c:v>483942.87</c:v>
              </c:pt>
            </c:numLit>
          </c:val>
          <c:extLst>
            <c:ext xmlns:c16="http://schemas.microsoft.com/office/drawing/2014/chart" uri="{C3380CC4-5D6E-409C-BE32-E72D297353CC}">
              <c16:uniqueId val="{00000001-67C3-41E4-AEBA-94A9FAD3C929}"/>
            </c:ext>
          </c:extLst>
        </c:ser>
        <c:dLbls>
          <c:showLegendKey val="0"/>
          <c:showVal val="0"/>
          <c:showCatName val="0"/>
          <c:showSerName val="0"/>
          <c:showPercent val="0"/>
          <c:showBubbleSize val="0"/>
        </c:dLbls>
        <c:gapWidth val="15"/>
        <c:overlap val="100"/>
        <c:axId val="946960895"/>
        <c:axId val="946966303"/>
      </c:barChart>
      <c:catAx>
        <c:axId val="946960895"/>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6303"/>
        <c:crosses val="autoZero"/>
        <c:auto val="1"/>
        <c:lblAlgn val="ctr"/>
        <c:lblOffset val="100"/>
        <c:noMultiLvlLbl val="0"/>
        <c:extLst>
          <c:ext xmlns:c15="http://schemas.microsoft.com/office/drawing/2012/chart" uri="{F40574EE-89B7-4290-83BB-5DA773EAF853}">
            <c15:numFmt c:formatCode="General" c:sourceLinked="1"/>
          </c:ext>
        </c:extLst>
      </c:catAx>
      <c:valAx>
        <c:axId val="946966303"/>
        <c:scaling>
          <c:orientation val="minMax"/>
          <c:min val="500"/>
        </c:scaling>
        <c:delete val="0"/>
        <c:axPos val="l"/>
        <c:numFmt formatCode="&quot;$&quot;#,##0.0" sourceLinked="0"/>
        <c:majorTickMark val="out"/>
        <c:minorTickMark val="in"/>
        <c:tickLblPos val="nextTo"/>
        <c:spPr>
          <a:noFill/>
          <a:ln cap="sq">
            <a:solidFill>
              <a:schemeClr val="accent1">
                <a:alpha val="90000"/>
              </a:schemeClr>
            </a:solidFill>
            <a:headEnd type="triangle"/>
          </a:ln>
          <a:effectLst/>
        </c:spPr>
        <c:txPr>
          <a:bodyPr rot="-60000000" spcFirstLastPara="1" vertOverflow="ellipsis" vert="horz" wrap="square" anchor="ctr" anchorCtr="1"/>
          <a:lstStyle/>
          <a:p>
            <a:pPr>
              <a:defRPr sz="900" b="0" i="0" u="none" strike="noStrike" kern="1200" cap="none" spc="0" baseline="0">
                <a:ln>
                  <a:solidFill>
                    <a:schemeClr val="tx2"/>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0895"/>
        <c:crosses val="autoZero"/>
        <c:crossBetween val="between"/>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12700" cap="flat" cmpd="sng" algn="ctr">
      <a:solidFill>
        <a:schemeClr val="accent2"/>
      </a:solidFill>
      <a:prstDash val="solid"/>
      <a:miter lim="800000"/>
    </a:ln>
    <a:effectLst>
      <a:outerShdw blurRad="50800" dist="38100" dir="5400000" algn="t" rotWithShape="0">
        <a:prstClr val="black">
          <a:alpha val="40000"/>
        </a:prstClr>
      </a:outerShdw>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[SMART_STORE_ANALYSIS.xlsx]PivotChartTable1</c15:name>
        <c15:fmtId val="7"/>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r>
              <a:rPr lang="en-US" sz="1800" b="0" i="0" u="none" strike="noStrike" kern="1200" cap="none" spc="0" baseline="0">
                <a:ln w="0">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rPr>
              <a:t>Revenue By Campaign</a:t>
            </a:r>
          </a:p>
        </c:rich>
      </c:tx>
      <c:layout>
        <c:manualLayout>
          <c:xMode val="edge"/>
          <c:yMode val="edge"/>
          <c:x val="0.20280903395140124"/>
          <c:y val="4.7909011373578302E-2"/>
        </c:manualLayout>
      </c:layout>
      <c:overlay val="0"/>
      <c:spPr>
        <a:noFill/>
        <a:ln>
          <a:noFill/>
        </a:ln>
        <a:effectLst/>
      </c:spPr>
      <c:txPr>
        <a:bodyPr rot="0" spcFirstLastPara="1" vertOverflow="ellipsis" vert="horz" wrap="square" anchor="ctr" anchorCtr="1"/>
        <a:lstStyle/>
        <a:p>
          <a:pPr algn="ctr" rtl="0">
            <a:defRPr lang="en-US" sz="1800" b="0" i="0" u="none" strike="noStrike" kern="1200" cap="none" spc="0" baseline="0">
              <a:ln>
                <a:solidFill>
                  <a:schemeClr val="tx1"/>
                </a:solidFill>
              </a:ln>
              <a:solidFill>
                <a:schemeClr val="tx1"/>
              </a:solidFill>
              <a:effectLst>
                <a:outerShdw blurRad="50800" dist="38100" dir="2700000" algn="tl"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38447210227755"/>
          <c:y val="0.21251513560804899"/>
          <c:w val="0.71190250433355518"/>
          <c:h val="0.61434019762593406"/>
        </c:manualLayout>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Lit>
              <c:ptCount val="4"/>
              <c:pt idx="0">
                <c:v>3</c:v>
              </c:pt>
              <c:pt idx="1">
                <c:v>0</c:v>
              </c:pt>
              <c:pt idx="2">
                <c:v>1</c:v>
              </c:pt>
              <c:pt idx="3">
                <c:v>2</c:v>
              </c:pt>
            </c:strLit>
          </c:cat>
          <c:val>
            <c:numLit>
              <c:formatCode>\$#,##0.0;\(\$#,##0.0\);\$#,##0.0</c:formatCode>
              <c:ptCount val="4"/>
              <c:pt idx="0">
                <c:v>636110.26</c:v>
              </c:pt>
              <c:pt idx="1">
                <c:v>549718.22</c:v>
              </c:pt>
              <c:pt idx="2">
                <c:v>432194.05</c:v>
              </c:pt>
              <c:pt idx="3">
                <c:v>408734.45</c:v>
              </c:pt>
            </c:numLit>
          </c:val>
          <c:extLst>
            <c:ext xmlns:c16="http://schemas.microsoft.com/office/drawing/2014/chart" uri="{C3380CC4-5D6E-409C-BE32-E72D297353CC}">
              <c16:uniqueId val="{00000000-0FF4-4FFE-A85C-13771EFD76B0}"/>
            </c:ext>
          </c:extLst>
        </c:ser>
        <c:dLbls>
          <c:dLblPos val="outEnd"/>
          <c:showLegendKey val="0"/>
          <c:showVal val="1"/>
          <c:showCatName val="0"/>
          <c:showSerName val="0"/>
          <c:showPercent val="0"/>
          <c:showBubbleSize val="0"/>
        </c:dLbls>
        <c:gapWidth val="15"/>
        <c:overlap val="-40"/>
        <c:axId val="946960895"/>
        <c:axId val="946966303"/>
      </c:barChart>
      <c:catAx>
        <c:axId val="9469608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6303"/>
        <c:crosses val="autoZero"/>
        <c:auto val="1"/>
        <c:lblAlgn val="ctr"/>
        <c:lblOffset val="100"/>
        <c:noMultiLvlLbl val="0"/>
        <c:extLst>
          <c:ext xmlns:c15="http://schemas.microsoft.com/office/drawing/2012/chart" uri="{F40574EE-89B7-4290-83BB-5DA773EAF853}">
            <c15:numFmt c:formatCode="General" c:sourceLinked="1"/>
          </c:ext>
        </c:extLst>
      </c:catAx>
      <c:valAx>
        <c:axId val="946966303"/>
        <c:scaling>
          <c:orientation val="minMax"/>
          <c:min val="500"/>
        </c:scaling>
        <c:delete val="0"/>
        <c:axPos val="l"/>
        <c:numFmt formatCode="\$#,##0.0;\(\$#,##0.0\);\$#,##0.0" sourceLinked="0"/>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46960895"/>
        <c:crosses val="autoZero"/>
        <c:crossBetween val="between"/>
        <c:extLst>
          <c:ext xmlns:c15="http://schemas.microsoft.com/office/drawing/2012/chart" uri="{F40574EE-89B7-4290-83BB-5DA773EAF853}">
            <c15:numFmt c:formatCode="\$#,##0.0;\(\$#,##0.0\);\$#,##0.0" c:sourceLinked="1"/>
          </c:ext>
        </c:extLst>
      </c:valAx>
      <c:spPr>
        <a:solidFill>
          <a:schemeClr val="bg2"/>
        </a:solidFill>
        <a:ln>
          <a:noFill/>
        </a:ln>
        <a:effectLst/>
      </c:spPr>
    </c:plotArea>
    <c:plotVisOnly val="1"/>
    <c:dispBlanksAs val="gap"/>
    <c:showDLblsOverMax val="0"/>
    <c:extLst/>
  </c:chart>
  <c:spPr>
    <a:solidFill>
      <a:schemeClr val="bg2"/>
    </a:solidFill>
    <a:ln w="6350" cap="rnd" cmpd="sng" algn="ctr">
      <a:solidFill>
        <a:schemeClr val="accent2"/>
      </a:solidFill>
      <a:prstDash val="solid"/>
      <a:round/>
    </a:ln>
    <a:effectLst>
      <a:outerShdw blurRad="50800" dist="38100" dir="5400000" algn="t" rotWithShape="0">
        <a:prstClr val="black">
          <a:alpha val="40000"/>
        </a:prstClr>
      </a:outerShdw>
    </a:effectLst>
  </c:spPr>
  <c:txPr>
    <a:bodyPr/>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extLst>
    <c:ext xmlns:c15="http://schemas.microsoft.com/office/drawing/2012/chart" uri="{723BEF56-08C2-4564-9609-F4CBC75E7E54}">
      <c15:pivotSource>
        <c15:name>[SMART_STORE_ANALYSIS.xlsx]PivotChartTable3</c15:name>
        <c15:fmtId val="6"/>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1179</xdr:colOff>
      <xdr:row>0</xdr:row>
      <xdr:rowOff>132522</xdr:rowOff>
    </xdr:from>
    <xdr:to>
      <xdr:col>6</xdr:col>
      <xdr:colOff>25400</xdr:colOff>
      <xdr:row>1</xdr:row>
      <xdr:rowOff>152400</xdr:rowOff>
    </xdr:to>
    <xdr:sp macro="" textlink="">
      <xdr:nvSpPr>
        <xdr:cNvPr id="4" name="Rectangle: Rounded Corners 3">
          <a:extLst>
            <a:ext uri="{FF2B5EF4-FFF2-40B4-BE49-F238E27FC236}">
              <a16:creationId xmlns:a16="http://schemas.microsoft.com/office/drawing/2014/main" id="{724E745E-3F24-4825-A189-0F50922D4E45}"/>
            </a:ext>
          </a:extLst>
        </xdr:cNvPr>
        <xdr:cNvSpPr/>
      </xdr:nvSpPr>
      <xdr:spPr>
        <a:xfrm>
          <a:off x="3497912" y="132522"/>
          <a:ext cx="2090088" cy="2061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2541</xdr:colOff>
      <xdr:row>0</xdr:row>
      <xdr:rowOff>59267</xdr:rowOff>
    </xdr:from>
    <xdr:to>
      <xdr:col>10</xdr:col>
      <xdr:colOff>1305340</xdr:colOff>
      <xdr:row>1</xdr:row>
      <xdr:rowOff>152398</xdr:rowOff>
    </xdr:to>
    <xdr:sp macro="" textlink="">
      <xdr:nvSpPr>
        <xdr:cNvPr id="5" name="Rectangle: Rounded Corners 4">
          <a:extLst>
            <a:ext uri="{FF2B5EF4-FFF2-40B4-BE49-F238E27FC236}">
              <a16:creationId xmlns:a16="http://schemas.microsoft.com/office/drawing/2014/main" id="{4CB3A615-C8EE-428F-9C2C-E24A102DADE3}"/>
            </a:ext>
          </a:extLst>
        </xdr:cNvPr>
        <xdr:cNvSpPr/>
      </xdr:nvSpPr>
      <xdr:spPr>
        <a:xfrm>
          <a:off x="6081608" y="59267"/>
          <a:ext cx="4122199" cy="279398"/>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ctr"/>
          <a:r>
            <a:rPr lang="en-US" sz="105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Customer performance by Region</a:t>
          </a:r>
        </a:p>
      </xdr:txBody>
    </xdr:sp>
    <xdr:clientData/>
  </xdr:twoCellAnchor>
  <xdr:twoCellAnchor>
    <xdr:from>
      <xdr:col>0</xdr:col>
      <xdr:colOff>6625</xdr:colOff>
      <xdr:row>0</xdr:row>
      <xdr:rowOff>112643</xdr:rowOff>
    </xdr:from>
    <xdr:to>
      <xdr:col>3</xdr:col>
      <xdr:colOff>1657</xdr:colOff>
      <xdr:row>1</xdr:row>
      <xdr:rowOff>144780</xdr:rowOff>
    </xdr:to>
    <xdr:sp macro="" textlink="">
      <xdr:nvSpPr>
        <xdr:cNvPr id="6" name="Rectangle: Rounded Corners 5">
          <a:extLst>
            <a:ext uri="{FF2B5EF4-FFF2-40B4-BE49-F238E27FC236}">
              <a16:creationId xmlns:a16="http://schemas.microsoft.com/office/drawing/2014/main" id="{E4BC655F-4EC5-4739-8BD8-E7017E99389C}"/>
            </a:ext>
          </a:extLst>
        </xdr:cNvPr>
        <xdr:cNvSpPr/>
      </xdr:nvSpPr>
      <xdr:spPr>
        <a:xfrm>
          <a:off x="6625" y="112643"/>
          <a:ext cx="3096372" cy="215017"/>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endParaRPr>
        </a:p>
      </xdr:txBody>
    </xdr:sp>
    <xdr:clientData/>
  </xdr:twoCellAnchor>
  <xdr:twoCellAnchor>
    <xdr:from>
      <xdr:col>0</xdr:col>
      <xdr:colOff>8468</xdr:colOff>
      <xdr:row>0</xdr:row>
      <xdr:rowOff>84667</xdr:rowOff>
    </xdr:from>
    <xdr:to>
      <xdr:col>3</xdr:col>
      <xdr:colOff>16934</xdr:colOff>
      <xdr:row>1</xdr:row>
      <xdr:rowOff>160866</xdr:rowOff>
    </xdr:to>
    <xdr:sp macro="" textlink="">
      <xdr:nvSpPr>
        <xdr:cNvPr id="2" name="TextBox 1">
          <a:extLst>
            <a:ext uri="{FF2B5EF4-FFF2-40B4-BE49-F238E27FC236}">
              <a16:creationId xmlns:a16="http://schemas.microsoft.com/office/drawing/2014/main" id="{021BC35A-C689-41D0-A877-C1990E058D55}"/>
            </a:ext>
          </a:extLst>
        </xdr:cNvPr>
        <xdr:cNvSpPr txBox="1"/>
      </xdr:nvSpPr>
      <xdr:spPr>
        <a:xfrm>
          <a:off x="8468" y="84667"/>
          <a:ext cx="3285066" cy="262466"/>
        </a:xfrm>
        <a:prstGeom prst="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Revenue Performance over Time</a:t>
          </a:r>
        </a:p>
      </xdr:txBody>
    </xdr:sp>
    <xdr:clientData/>
  </xdr:twoCellAnchor>
  <xdr:twoCellAnchor>
    <xdr:from>
      <xdr:col>4</xdr:col>
      <xdr:colOff>848</xdr:colOff>
      <xdr:row>0</xdr:row>
      <xdr:rowOff>99060</xdr:rowOff>
    </xdr:from>
    <xdr:to>
      <xdr:col>6</xdr:col>
      <xdr:colOff>76200</xdr:colOff>
      <xdr:row>2</xdr:row>
      <xdr:rowOff>7620</xdr:rowOff>
    </xdr:to>
    <xdr:sp macro="" textlink="">
      <xdr:nvSpPr>
        <xdr:cNvPr id="3" name="TextBox 2">
          <a:extLst>
            <a:ext uri="{FF2B5EF4-FFF2-40B4-BE49-F238E27FC236}">
              <a16:creationId xmlns:a16="http://schemas.microsoft.com/office/drawing/2014/main" id="{07AEFF27-5611-4951-A47D-14174AA4E48A}"/>
            </a:ext>
          </a:extLst>
        </xdr:cNvPr>
        <xdr:cNvSpPr txBox="1"/>
      </xdr:nvSpPr>
      <xdr:spPr>
        <a:xfrm>
          <a:off x="3497581" y="99060"/>
          <a:ext cx="2141219" cy="281093"/>
        </a:xfrm>
        <a:prstGeom prst="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Total Revenue by Unit Price</a:t>
          </a:r>
        </a:p>
      </xdr:txBody>
    </xdr:sp>
    <xdr:clientData/>
  </xdr:twoCellAnchor>
  <xdr:twoCellAnchor>
    <xdr:from>
      <xdr:col>6</xdr:col>
      <xdr:colOff>220134</xdr:colOff>
      <xdr:row>10</xdr:row>
      <xdr:rowOff>67734</xdr:rowOff>
    </xdr:from>
    <xdr:to>
      <xdr:col>10</xdr:col>
      <xdr:colOff>1196291</xdr:colOff>
      <xdr:row>24</xdr:row>
      <xdr:rowOff>122517</xdr:rowOff>
    </xdr:to>
    <xdr:graphicFrame macro="">
      <xdr:nvGraphicFramePr>
        <xdr:cNvPr id="7" name="Chart 6">
          <a:extLst>
            <a:ext uri="{FF2B5EF4-FFF2-40B4-BE49-F238E27FC236}">
              <a16:creationId xmlns:a16="http://schemas.microsoft.com/office/drawing/2014/main" id="{82217AB7-9577-450E-9463-BF2B25A34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1159932</xdr:colOff>
      <xdr:row>15</xdr:row>
      <xdr:rowOff>50799</xdr:rowOff>
    </xdr:from>
    <xdr:to>
      <xdr:col>17</xdr:col>
      <xdr:colOff>33866</xdr:colOff>
      <xdr:row>30</xdr:row>
      <xdr:rowOff>101601</xdr:rowOff>
    </xdr:to>
    <xdr:graphicFrame macro="">
      <xdr:nvGraphicFramePr>
        <xdr:cNvPr id="8" name="Chart 7">
          <a:extLst>
            <a:ext uri="{FF2B5EF4-FFF2-40B4-BE49-F238E27FC236}">
              <a16:creationId xmlns:a16="http://schemas.microsoft.com/office/drawing/2014/main" id="{84FD537B-6BEC-4222-B84F-27AB24260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0</xdr:row>
      <xdr:rowOff>33867</xdr:rowOff>
    </xdr:from>
    <xdr:to>
      <xdr:col>14</xdr:col>
      <xdr:colOff>50800</xdr:colOff>
      <xdr:row>1</xdr:row>
      <xdr:rowOff>126998</xdr:rowOff>
    </xdr:to>
    <xdr:sp macro="" textlink="">
      <xdr:nvSpPr>
        <xdr:cNvPr id="9" name="Rectangle: Rounded Corners 8">
          <a:extLst>
            <a:ext uri="{FF2B5EF4-FFF2-40B4-BE49-F238E27FC236}">
              <a16:creationId xmlns:a16="http://schemas.microsoft.com/office/drawing/2014/main" id="{A63134F2-9786-48E4-ACFB-A384FEE9C5BE}"/>
            </a:ext>
          </a:extLst>
        </xdr:cNvPr>
        <xdr:cNvSpPr/>
      </xdr:nvSpPr>
      <xdr:spPr>
        <a:xfrm>
          <a:off x="10312400" y="33867"/>
          <a:ext cx="2827867" cy="279398"/>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Top Customer by Transaction</a:t>
          </a:r>
        </a:p>
      </xdr:txBody>
    </xdr:sp>
    <xdr:clientData/>
  </xdr:twoCellAnchor>
  <xdr:twoCellAnchor>
    <xdr:from>
      <xdr:col>14</xdr:col>
      <xdr:colOff>135467</xdr:colOff>
      <xdr:row>0</xdr:row>
      <xdr:rowOff>67734</xdr:rowOff>
    </xdr:from>
    <xdr:to>
      <xdr:col>17</xdr:col>
      <xdr:colOff>16933</xdr:colOff>
      <xdr:row>1</xdr:row>
      <xdr:rowOff>160865</xdr:rowOff>
    </xdr:to>
    <xdr:sp macro="" textlink="">
      <xdr:nvSpPr>
        <xdr:cNvPr id="10" name="Rectangle: Rounded Corners 9">
          <a:extLst>
            <a:ext uri="{FF2B5EF4-FFF2-40B4-BE49-F238E27FC236}">
              <a16:creationId xmlns:a16="http://schemas.microsoft.com/office/drawing/2014/main" id="{D41B180C-4AD3-46DB-8020-28D389A69711}"/>
            </a:ext>
          </a:extLst>
        </xdr:cNvPr>
        <xdr:cNvSpPr/>
      </xdr:nvSpPr>
      <xdr:spPr>
        <a:xfrm>
          <a:off x="13224934" y="67734"/>
          <a:ext cx="2006599" cy="279398"/>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Total Revenue by Store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67733</xdr:colOff>
      <xdr:row>0</xdr:row>
      <xdr:rowOff>84667</xdr:rowOff>
    </xdr:from>
    <xdr:to>
      <xdr:col>5</xdr:col>
      <xdr:colOff>753533</xdr:colOff>
      <xdr:row>16</xdr:row>
      <xdr:rowOff>33867</xdr:rowOff>
    </xdr:to>
    <xdr:graphicFrame macro="">
      <xdr:nvGraphicFramePr>
        <xdr:cNvPr id="3" name="Chart 2">
          <a:extLst>
            <a:ext uri="{FF2B5EF4-FFF2-40B4-BE49-F238E27FC236}">
              <a16:creationId xmlns:a16="http://schemas.microsoft.com/office/drawing/2014/main" id="{EA6B8C44-36A1-473C-A33F-1F9D725FD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294216</xdr:colOff>
      <xdr:row>16</xdr:row>
      <xdr:rowOff>177799</xdr:rowOff>
    </xdr:from>
    <xdr:to>
      <xdr:col>17</xdr:col>
      <xdr:colOff>76201</xdr:colOff>
      <xdr:row>30</xdr:row>
      <xdr:rowOff>123824</xdr:rowOff>
    </xdr:to>
    <xdr:graphicFrame macro="">
      <xdr:nvGraphicFramePr>
        <xdr:cNvPr id="4" name="Chart 3">
          <a:extLst>
            <a:ext uri="{FF2B5EF4-FFF2-40B4-BE49-F238E27FC236}">
              <a16:creationId xmlns:a16="http://schemas.microsoft.com/office/drawing/2014/main" id="{9A157E25-04C8-4DDD-8F6B-B1BA2760D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491700</xdr:colOff>
      <xdr:row>16</xdr:row>
      <xdr:rowOff>177800</xdr:rowOff>
    </xdr:from>
    <xdr:to>
      <xdr:col>10</xdr:col>
      <xdr:colOff>222779</xdr:colOff>
      <xdr:row>30</xdr:row>
      <xdr:rowOff>155575</xdr:rowOff>
    </xdr:to>
    <xdr:graphicFrame macro="">
      <xdr:nvGraphicFramePr>
        <xdr:cNvPr id="5" name="Chart 4">
          <a:extLst>
            <a:ext uri="{FF2B5EF4-FFF2-40B4-BE49-F238E27FC236}">
              <a16:creationId xmlns:a16="http://schemas.microsoft.com/office/drawing/2014/main" id="{1EB04EAC-3F25-48F0-95DE-0F343B931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98424</xdr:colOff>
      <xdr:row>16</xdr:row>
      <xdr:rowOff>135466</xdr:rowOff>
    </xdr:from>
    <xdr:to>
      <xdr:col>5</xdr:col>
      <xdr:colOff>406400</xdr:colOff>
      <xdr:row>30</xdr:row>
      <xdr:rowOff>106361</xdr:rowOff>
    </xdr:to>
    <xdr:graphicFrame macro="">
      <xdr:nvGraphicFramePr>
        <xdr:cNvPr id="7" name="Chart 6">
          <a:extLst>
            <a:ext uri="{FF2B5EF4-FFF2-40B4-BE49-F238E27FC236}">
              <a16:creationId xmlns:a16="http://schemas.microsoft.com/office/drawing/2014/main" id="{7CAAA8B1-B53A-468C-B62A-84CFC4F90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855133</xdr:colOff>
      <xdr:row>9</xdr:row>
      <xdr:rowOff>110066</xdr:rowOff>
    </xdr:from>
    <xdr:to>
      <xdr:col>13</xdr:col>
      <xdr:colOff>211667</xdr:colOff>
      <xdr:row>16</xdr:row>
      <xdr:rowOff>110067</xdr:rowOff>
    </xdr:to>
    <xdr:sp macro="" textlink="">
      <xdr:nvSpPr>
        <xdr:cNvPr id="28" name="Rectangle: Rounded Corners 27">
          <a:extLst>
            <a:ext uri="{FF2B5EF4-FFF2-40B4-BE49-F238E27FC236}">
              <a16:creationId xmlns:a16="http://schemas.microsoft.com/office/drawing/2014/main" id="{072B0B55-ACCB-434F-B125-D2F4EA80B7F8}"/>
            </a:ext>
          </a:extLst>
        </xdr:cNvPr>
        <xdr:cNvSpPr/>
      </xdr:nvSpPr>
      <xdr:spPr>
        <a:xfrm>
          <a:off x="5046133" y="1794933"/>
          <a:ext cx="8094134" cy="1303867"/>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714375</xdr:colOff>
      <xdr:row>10</xdr:row>
      <xdr:rowOff>93134</xdr:rowOff>
    </xdr:from>
    <xdr:to>
      <xdr:col>9</xdr:col>
      <xdr:colOff>1151465</xdr:colOff>
      <xdr:row>15</xdr:row>
      <xdr:rowOff>127000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3587AE56-7F81-4C6C-A9F2-BD466654BE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89775" y="1964267"/>
              <a:ext cx="2350557" cy="96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1000230</xdr:colOff>
      <xdr:row>10</xdr:row>
      <xdr:rowOff>109009</xdr:rowOff>
    </xdr:from>
    <xdr:to>
      <xdr:col>7</xdr:col>
      <xdr:colOff>646641</xdr:colOff>
      <xdr:row>15</xdr:row>
      <xdr:rowOff>67733</xdr:rowOff>
    </xdr:to>
    <mc:AlternateContent xmlns:mc="http://schemas.openxmlformats.org/markup-compatibility/2006" xmlns:a14="http://schemas.microsoft.com/office/drawing/2010/main">
      <mc:Choice Requires="a14">
        <xdr:graphicFrame macro="">
          <xdr:nvGraphicFramePr>
            <xdr:cNvPr id="11" name="StoreID">
              <a:extLst>
                <a:ext uri="{FF2B5EF4-FFF2-40B4-BE49-F238E27FC236}">
                  <a16:creationId xmlns:a16="http://schemas.microsoft.com/office/drawing/2014/main" id="{D69FAC4D-B35F-4EF3-B069-3C4B3B043FEF}"/>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mlns="">
        <xdr:sp macro="" textlink="">
          <xdr:nvSpPr>
            <xdr:cNvPr id="0" name=""/>
            <xdr:cNvSpPr>
              <a:spLocks noTextEdit="1"/>
            </xdr:cNvSpPr>
          </xdr:nvSpPr>
          <xdr:spPr>
            <a:xfrm>
              <a:off x="5191230" y="1980142"/>
              <a:ext cx="1830811" cy="890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838199</xdr:colOff>
      <xdr:row>0</xdr:row>
      <xdr:rowOff>110068</xdr:rowOff>
    </xdr:from>
    <xdr:to>
      <xdr:col>16</xdr:col>
      <xdr:colOff>508000</xdr:colOff>
      <xdr:row>4</xdr:row>
      <xdr:rowOff>50800</xdr:rowOff>
    </xdr:to>
    <xdr:sp macro="" textlink="">
      <xdr:nvSpPr>
        <xdr:cNvPr id="15" name="Rectangle: Diagonal Corners Rounded 14">
          <a:extLst>
            <a:ext uri="{FF2B5EF4-FFF2-40B4-BE49-F238E27FC236}">
              <a16:creationId xmlns:a16="http://schemas.microsoft.com/office/drawing/2014/main" id="{02665C63-DFBF-416B-BF0D-8394DCEE50C1}"/>
            </a:ext>
          </a:extLst>
        </xdr:cNvPr>
        <xdr:cNvSpPr/>
      </xdr:nvSpPr>
      <xdr:spPr>
        <a:xfrm>
          <a:off x="5029199" y="110068"/>
          <a:ext cx="10236201" cy="685799"/>
        </a:xfrm>
        <a:prstGeom prst="round2DiagRect">
          <a:avLst/>
        </a:prstGeom>
        <a:solidFill>
          <a:schemeClr val="accent2"/>
        </a:solidFill>
        <a:ln>
          <a:solidFill>
            <a:schemeClr val="bg2"/>
          </a:solidFill>
        </a:ln>
        <a:effectLst>
          <a:glow rad="228600">
            <a:schemeClr val="accent3">
              <a:satMod val="175000"/>
              <a:alpha val="40000"/>
            </a:schemeClr>
          </a:glow>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30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a typeface="+mn-ea"/>
              <a:cs typeface="+mn-cs"/>
            </a:rPr>
            <a:t>SMART STORE MARKETING</a:t>
          </a:r>
          <a:r>
            <a:rPr lang="en-US" sz="3000" b="0" cap="none" spc="0" baseline="0">
              <a:ln w="0"/>
              <a:solidFill>
                <a:schemeClr val="bg1"/>
              </a:solidFill>
              <a:effectLst>
                <a:outerShdw blurRad="38100" dist="19050" dir="2700000" algn="tl" rotWithShape="0">
                  <a:schemeClr val="dk1">
                    <a:alpha val="40000"/>
                  </a:schemeClr>
                </a:outerShdw>
              </a:effectLst>
              <a:latin typeface="Arial Black" panose="020B0A04020102020204" pitchFamily="34" charset="0"/>
              <a:ea typeface="+mn-ea"/>
              <a:cs typeface="+mn-cs"/>
            </a:rPr>
            <a:t> </a:t>
          </a:r>
          <a:r>
            <a:rPr lang="en-US" sz="30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a typeface="+mn-ea"/>
              <a:cs typeface="+mn-cs"/>
            </a:rPr>
            <a:t>ANALYSIS</a:t>
          </a:r>
        </a:p>
      </xdr:txBody>
    </xdr:sp>
    <xdr:clientData/>
  </xdr:twoCellAnchor>
  <xdr:twoCellAnchor>
    <xdr:from>
      <xdr:col>5</xdr:col>
      <xdr:colOff>901702</xdr:colOff>
      <xdr:row>4</xdr:row>
      <xdr:rowOff>118533</xdr:rowOff>
    </xdr:from>
    <xdr:to>
      <xdr:col>8</xdr:col>
      <xdr:colOff>76200</xdr:colOff>
      <xdr:row>9</xdr:row>
      <xdr:rowOff>33867</xdr:rowOff>
    </xdr:to>
    <xdr:grpSp>
      <xdr:nvGrpSpPr>
        <xdr:cNvPr id="9" name="Group 8">
          <a:extLst>
            <a:ext uri="{FF2B5EF4-FFF2-40B4-BE49-F238E27FC236}">
              <a16:creationId xmlns:a16="http://schemas.microsoft.com/office/drawing/2014/main" id="{66103B98-C2ED-4EAC-8CCF-826A5998DED5}"/>
            </a:ext>
          </a:extLst>
        </xdr:cNvPr>
        <xdr:cNvGrpSpPr/>
      </xdr:nvGrpSpPr>
      <xdr:grpSpPr>
        <a:xfrm>
          <a:off x="5092702" y="863600"/>
          <a:ext cx="2171698" cy="855134"/>
          <a:chOff x="5092702" y="880533"/>
          <a:chExt cx="2171698" cy="855134"/>
        </a:xfrm>
      </xdr:grpSpPr>
      <xdr:sp macro="" textlink="$G$7">
        <xdr:nvSpPr>
          <xdr:cNvPr id="17" name="Rectangle: Rounded Corners 16">
            <a:extLst>
              <a:ext uri="{FF2B5EF4-FFF2-40B4-BE49-F238E27FC236}">
                <a16:creationId xmlns:a16="http://schemas.microsoft.com/office/drawing/2014/main" id="{5E13CFE6-8FBD-45FF-8814-53FEF742E445}"/>
              </a:ext>
            </a:extLst>
          </xdr:cNvPr>
          <xdr:cNvSpPr/>
        </xdr:nvSpPr>
        <xdr:spPr>
          <a:xfrm>
            <a:off x="5092702" y="880533"/>
            <a:ext cx="2171698" cy="855134"/>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      </a:t>
            </a:r>
            <a:fld id="{573AF484-2267-4AD7-9AC4-7AACB13458CA}" type="TxLink">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pPr marL="0" indent="0" algn="l"/>
              <a:t> 1,997 </a:t>
            </a:fld>
            <a:endPar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endParaRPr>
          </a:p>
        </xdr:txBody>
      </xdr:sp>
      <xdr:sp macro="" textlink="">
        <xdr:nvSpPr>
          <xdr:cNvPr id="6" name="TextBox 5">
            <a:extLst>
              <a:ext uri="{FF2B5EF4-FFF2-40B4-BE49-F238E27FC236}">
                <a16:creationId xmlns:a16="http://schemas.microsoft.com/office/drawing/2014/main" id="{FC235210-40A3-4083-8E35-8360A79EF0CD}"/>
              </a:ext>
            </a:extLst>
          </xdr:cNvPr>
          <xdr:cNvSpPr txBox="1"/>
        </xdr:nvSpPr>
        <xdr:spPr>
          <a:xfrm>
            <a:off x="5503333" y="1422400"/>
            <a:ext cx="1352020" cy="245534"/>
          </a:xfrm>
          <a:prstGeom prst="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50" b="1" i="0" u="none" strike="noStrike" cap="none" spc="0" baseline="0">
                <a:ln w="0"/>
                <a:solidFill>
                  <a:schemeClr val="bg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Total </a:t>
            </a:r>
            <a:r>
              <a:rPr lang="en-US" sz="1100" b="1" i="0" u="none" strike="noStrike" cap="none" spc="0" baseline="0">
                <a:ln w="0"/>
                <a:solidFill>
                  <a:schemeClr val="bg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Transaction</a:t>
            </a:r>
          </a:p>
        </xdr:txBody>
      </xdr:sp>
    </xdr:grpSp>
    <xdr:clientData/>
  </xdr:twoCellAnchor>
  <xdr:twoCellAnchor editAs="oneCell">
    <xdr:from>
      <xdr:col>13</xdr:col>
      <xdr:colOff>440267</xdr:colOff>
      <xdr:row>4</xdr:row>
      <xdr:rowOff>127000</xdr:rowOff>
    </xdr:from>
    <xdr:to>
      <xdr:col>17</xdr:col>
      <xdr:colOff>128058</xdr:colOff>
      <xdr:row>16</xdr:row>
      <xdr:rowOff>118533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BEED5939-8F05-4FAA-91C5-667CDA4907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368867" y="872067"/>
              <a:ext cx="2126191" cy="223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139700</xdr:colOff>
      <xdr:row>4</xdr:row>
      <xdr:rowOff>135464</xdr:rowOff>
    </xdr:from>
    <xdr:to>
      <xdr:col>9</xdr:col>
      <xdr:colOff>1089026</xdr:colOff>
      <xdr:row>9</xdr:row>
      <xdr:rowOff>50267</xdr:rowOff>
    </xdr:to>
    <xdr:grpSp>
      <xdr:nvGrpSpPr>
        <xdr:cNvPr id="14" name="Group 13">
          <a:extLst>
            <a:ext uri="{FF2B5EF4-FFF2-40B4-BE49-F238E27FC236}">
              <a16:creationId xmlns:a16="http://schemas.microsoft.com/office/drawing/2014/main" id="{E200763D-9718-4403-B858-D51EA9767D3C}"/>
            </a:ext>
          </a:extLst>
        </xdr:cNvPr>
        <xdr:cNvGrpSpPr/>
      </xdr:nvGrpSpPr>
      <xdr:grpSpPr>
        <a:xfrm>
          <a:off x="7327900" y="880531"/>
          <a:ext cx="2049993" cy="854603"/>
          <a:chOff x="7344833" y="880531"/>
          <a:chExt cx="2049993" cy="854603"/>
        </a:xfrm>
      </xdr:grpSpPr>
      <xdr:sp macro="" textlink="$I$7">
        <xdr:nvSpPr>
          <xdr:cNvPr id="8" name="Rectangle: Rounded Corners 7">
            <a:extLst>
              <a:ext uri="{FF2B5EF4-FFF2-40B4-BE49-F238E27FC236}">
                <a16:creationId xmlns:a16="http://schemas.microsoft.com/office/drawing/2014/main" id="{9B3665BB-3B37-4058-82E9-A77FBCCFFD90}"/>
              </a:ext>
            </a:extLst>
          </xdr:cNvPr>
          <xdr:cNvSpPr/>
        </xdr:nvSpPr>
        <xdr:spPr>
          <a:xfrm>
            <a:off x="7344833" y="880531"/>
            <a:ext cx="2049993" cy="854603"/>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   </a:t>
            </a:r>
            <a:fld id="{B306932B-44A3-4800-8DB6-DCEDDB961B5F}" type="TxLink">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pPr marL="0" indent="0" algn="l"/>
              <a:t> 2,026,757 </a:t>
            </a:fld>
            <a:endPar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endParaRPr>
          </a:p>
        </xdr:txBody>
      </xdr:sp>
      <xdr:sp macro="" textlink="">
        <xdr:nvSpPr>
          <xdr:cNvPr id="26" name="TextBox 25">
            <a:extLst>
              <a:ext uri="{FF2B5EF4-FFF2-40B4-BE49-F238E27FC236}">
                <a16:creationId xmlns:a16="http://schemas.microsoft.com/office/drawing/2014/main" id="{4FB46F44-0161-4003-9B5C-AD77D39E7BEF}"/>
              </a:ext>
            </a:extLst>
          </xdr:cNvPr>
          <xdr:cNvSpPr txBox="1"/>
        </xdr:nvSpPr>
        <xdr:spPr>
          <a:xfrm>
            <a:off x="7747000" y="1397000"/>
            <a:ext cx="1303867" cy="262468"/>
          </a:xfrm>
          <a:prstGeom prst="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100" b="1" i="0" u="none" strike="noStrike" cap="none" spc="0" baseline="0">
                <a:ln w="0"/>
                <a:solidFill>
                  <a:schemeClr val="bg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Total Revenue </a:t>
            </a:r>
          </a:p>
        </xdr:txBody>
      </xdr:sp>
    </xdr:grpSp>
    <xdr:clientData/>
  </xdr:twoCellAnchor>
  <xdr:twoCellAnchor editAs="oneCell">
    <xdr:from>
      <xdr:col>9</xdr:col>
      <xdr:colOff>1210733</xdr:colOff>
      <xdr:row>9</xdr:row>
      <xdr:rowOff>67733</xdr:rowOff>
    </xdr:from>
    <xdr:to>
      <xdr:col>13</xdr:col>
      <xdr:colOff>143933</xdr:colOff>
      <xdr:row>16</xdr:row>
      <xdr:rowOff>76200</xdr:rowOff>
    </xdr:to>
    <mc:AlternateContent xmlns:mc="http://schemas.openxmlformats.org/markup-compatibility/2006" xmlns:tsle="http://schemas.microsoft.com/office/drawing/2012/timeslicer">
      <mc:Choice Requires="tsle">
        <xdr:graphicFrame macro="">
          <xdr:nvGraphicFramePr>
            <xdr:cNvPr id="22" name="JoinDate">
              <a:extLst>
                <a:ext uri="{FF2B5EF4-FFF2-40B4-BE49-F238E27FC236}">
                  <a16:creationId xmlns:a16="http://schemas.microsoft.com/office/drawing/2014/main" id="{2CE558E9-A97D-4084-BE02-7B21B100C47D}"/>
                </a:ext>
              </a:extLst>
            </xdr:cNvPr>
            <xdr:cNvGraphicFramePr/>
          </xdr:nvGraphicFramePr>
          <xdr:xfrm>
            <a:off x="0" y="0"/>
            <a:ext cx="0" cy="0"/>
          </xdr:xfrm>
          <a:graphic>
            <a:graphicData uri="http://schemas.microsoft.com/office/drawing/2012/timeslicer">
              <tsle:timeslicer name="JoinDate"/>
            </a:graphicData>
          </a:graphic>
        </xdr:graphicFrame>
      </mc:Choice>
      <mc:Fallback xmlns="">
        <xdr:sp macro="" textlink="">
          <xdr:nvSpPr>
            <xdr:cNvPr id="0" name=""/>
            <xdr:cNvSpPr>
              <a:spLocks noTextEdit="1"/>
            </xdr:cNvSpPr>
          </xdr:nvSpPr>
          <xdr:spPr>
            <a:xfrm>
              <a:off x="9499600" y="1752600"/>
              <a:ext cx="3572933" cy="13123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1126067</xdr:colOff>
      <xdr:row>4</xdr:row>
      <xdr:rowOff>143934</xdr:rowOff>
    </xdr:from>
    <xdr:to>
      <xdr:col>11</xdr:col>
      <xdr:colOff>194732</xdr:colOff>
      <xdr:row>9</xdr:row>
      <xdr:rowOff>42334</xdr:rowOff>
    </xdr:to>
    <xdr:grpSp>
      <xdr:nvGrpSpPr>
        <xdr:cNvPr id="16" name="Group 15">
          <a:extLst>
            <a:ext uri="{FF2B5EF4-FFF2-40B4-BE49-F238E27FC236}">
              <a16:creationId xmlns:a16="http://schemas.microsoft.com/office/drawing/2014/main" id="{DAF7602E-246F-419B-8ABB-37A717C86576}"/>
            </a:ext>
          </a:extLst>
        </xdr:cNvPr>
        <xdr:cNvGrpSpPr/>
      </xdr:nvGrpSpPr>
      <xdr:grpSpPr>
        <a:xfrm>
          <a:off x="9414934" y="889001"/>
          <a:ext cx="1854198" cy="838200"/>
          <a:chOff x="9414934" y="889001"/>
          <a:chExt cx="1854198" cy="838200"/>
        </a:xfrm>
      </xdr:grpSpPr>
      <xdr:sp macro="" textlink="$K$7">
        <xdr:nvSpPr>
          <xdr:cNvPr id="19" name="Rectangle: Rounded Corners 18">
            <a:extLst>
              <a:ext uri="{FF2B5EF4-FFF2-40B4-BE49-F238E27FC236}">
                <a16:creationId xmlns:a16="http://schemas.microsoft.com/office/drawing/2014/main" id="{343762B7-9BE5-4233-B9A6-A0034B3A10AC}"/>
              </a:ext>
            </a:extLst>
          </xdr:cNvPr>
          <xdr:cNvSpPr/>
        </xdr:nvSpPr>
        <xdr:spPr>
          <a:xfrm>
            <a:off x="9414934" y="889001"/>
            <a:ext cx="1854198" cy="838200"/>
          </a:xfrm>
          <a:prstGeom prst="round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6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    </a:t>
            </a:r>
            <a:fld id="{E148474B-2C64-4403-9B43-624F5A5E7524}" type="TxLink">
              <a:rPr lang="en-US" sz="16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pPr marL="0" indent="0" algn="l"/>
              <a:t>1001.49</a:t>
            </a:fld>
            <a:endParaRPr lang="en-US" sz="16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endParaRPr>
          </a:p>
        </xdr:txBody>
      </xdr:sp>
      <xdr:sp macro="" textlink="">
        <xdr:nvSpPr>
          <xdr:cNvPr id="31" name="TextBox 30">
            <a:extLst>
              <a:ext uri="{FF2B5EF4-FFF2-40B4-BE49-F238E27FC236}">
                <a16:creationId xmlns:a16="http://schemas.microsoft.com/office/drawing/2014/main" id="{924539D8-FACC-47FB-8A23-79E1D9FFF881}"/>
              </a:ext>
            </a:extLst>
          </xdr:cNvPr>
          <xdr:cNvSpPr txBox="1"/>
        </xdr:nvSpPr>
        <xdr:spPr>
          <a:xfrm>
            <a:off x="9550400" y="1354666"/>
            <a:ext cx="1617134" cy="26246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Average</a:t>
            </a:r>
            <a:r>
              <a:rPr lang="en-US" sz="1100" b="1" i="0" u="none" strike="noStrike" cap="none" spc="0" baseline="0">
                <a:ln w="0"/>
                <a:solidFill>
                  <a:schemeClr val="bg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Transaction</a:t>
            </a:r>
          </a:p>
        </xdr:txBody>
      </xdr:sp>
    </xdr:grpSp>
    <xdr:clientData/>
  </xdr:twoCellAnchor>
  <xdr:twoCellAnchor>
    <xdr:from>
      <xdr:col>11</xdr:col>
      <xdr:colOff>254000</xdr:colOff>
      <xdr:row>4</xdr:row>
      <xdr:rowOff>101600</xdr:rowOff>
    </xdr:from>
    <xdr:to>
      <xdr:col>13</xdr:col>
      <xdr:colOff>380999</xdr:colOff>
      <xdr:row>9</xdr:row>
      <xdr:rowOff>25400</xdr:rowOff>
    </xdr:to>
    <xdr:grpSp>
      <xdr:nvGrpSpPr>
        <xdr:cNvPr id="13" name="Group 12">
          <a:extLst>
            <a:ext uri="{FF2B5EF4-FFF2-40B4-BE49-F238E27FC236}">
              <a16:creationId xmlns:a16="http://schemas.microsoft.com/office/drawing/2014/main" id="{69FFC712-E65D-4A74-AD30-DAA47B0B4274}"/>
            </a:ext>
          </a:extLst>
        </xdr:cNvPr>
        <xdr:cNvGrpSpPr/>
      </xdr:nvGrpSpPr>
      <xdr:grpSpPr>
        <a:xfrm>
          <a:off x="11328400" y="846667"/>
          <a:ext cx="1981199" cy="863600"/>
          <a:chOff x="11303000" y="846667"/>
          <a:chExt cx="1981199" cy="863600"/>
        </a:xfrm>
      </xdr:grpSpPr>
      <xdr:sp macro="" textlink="$L$7">
        <xdr:nvSpPr>
          <xdr:cNvPr id="27" name="Rectangle: Rounded Corners 26">
            <a:extLst>
              <a:ext uri="{FF2B5EF4-FFF2-40B4-BE49-F238E27FC236}">
                <a16:creationId xmlns:a16="http://schemas.microsoft.com/office/drawing/2014/main" id="{AC5BF734-BA5C-4105-AC28-EF26E1B541D9}"/>
              </a:ext>
            </a:extLst>
          </xdr:cNvPr>
          <xdr:cNvSpPr/>
        </xdr:nvSpPr>
        <xdr:spPr>
          <a:xfrm>
            <a:off x="11303000" y="846667"/>
            <a:ext cx="1981199" cy="863600"/>
          </a:xfrm>
          <a:prstGeom prst="roundRect">
            <a:avLst>
              <a:gd name="adj" fmla="val 13724"/>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t>         </a:t>
            </a:r>
            <a:fld id="{66918136-224E-40A5-AAFA-A5B1C39C40DD}" type="TxLink">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rPr>
              <a:pPr marL="0" indent="0" algn="l"/>
              <a:t>200</a:t>
            </a:fld>
            <a:endPar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mn-ea"/>
              <a:cs typeface="Calibri"/>
            </a:endParaRPr>
          </a:p>
        </xdr:txBody>
      </xdr:sp>
      <xdr:sp macro="" textlink="">
        <xdr:nvSpPr>
          <xdr:cNvPr id="33" name="TextBox 32">
            <a:extLst>
              <a:ext uri="{FF2B5EF4-FFF2-40B4-BE49-F238E27FC236}">
                <a16:creationId xmlns:a16="http://schemas.microsoft.com/office/drawing/2014/main" id="{594711DC-9B73-4750-B368-72D568A13927}"/>
              </a:ext>
            </a:extLst>
          </xdr:cNvPr>
          <xdr:cNvSpPr txBox="1"/>
        </xdr:nvSpPr>
        <xdr:spPr>
          <a:xfrm>
            <a:off x="11667068" y="1354667"/>
            <a:ext cx="1278466" cy="287867"/>
          </a:xfrm>
          <a:prstGeom prst="rect">
            <a:avLst/>
          </a:prstGeom>
          <a:solidFill>
            <a:schemeClr val="accent2"/>
          </a:solidFill>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marL="0" indent="0" algn="l"/>
            <a:r>
              <a:rPr lang="en-US" sz="1050" b="1" i="0" u="none" strike="noStrike" cap="none" spc="0" baseline="0">
                <a:ln w="0"/>
                <a:solidFill>
                  <a:schemeClr val="bg1"/>
                </a:solidFill>
                <a:effectLst>
                  <a:outerShdw blurRad="38100" dist="19050" dir="2700000" algn="tl" rotWithShape="0">
                    <a:schemeClr val="dk1">
                      <a:alpha val="40000"/>
                    </a:schemeClr>
                  </a:outerShdw>
                </a:effectLst>
                <a:latin typeface="Arial" panose="020B0604020202020204" pitchFamily="34" charset="0"/>
                <a:ea typeface="+mn-ea"/>
                <a:cs typeface="Arial" panose="020B0604020202020204" pitchFamily="34" charset="0"/>
              </a:rPr>
              <a:t>Total Customer </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23148145" backgroundQuery="1" createdVersion="7" refreshedVersion="7" minRefreshableVersion="3" recordCount="0" supportSubquery="1" supportAdvancedDrill="1" xr:uid="{E33A6C3B-8EA4-4422-B424-E143F58B1BA2}">
  <cacheSource type="external" connectionId="4"/>
  <cacheFields count="2">
    <cacheField name="[Measures].[Total Sales]" caption="Total Sales" numFmtId="0" hierarchy="54" level="32767"/>
    <cacheField name="[sales_data].[StoreID].[StoreID]" caption="StoreID" numFmtId="0" hierarchy="25" level="1">
      <sharedItems containsSemiMixedTypes="0" containsString="0" containsNumber="1" containsInteger="1" minValue="401" maxValue="404" count="4">
        <n v="401"/>
        <n v="402"/>
        <n v="403"/>
        <n v="404"/>
      </sharedItems>
      <extLst>
        <ext xmlns:x15="http://schemas.microsoft.com/office/spreadsheetml/2010/11/main" uri="{4F2E5C28-24EA-4eb8-9CBF-B6C8F9C3D259}">
          <x15:cachedUniqueNames>
            <x15:cachedUniqueName index="0" name="[sales_data].[StoreID].&amp;[401]"/>
            <x15:cachedUniqueName index="1" name="[sales_data].[StoreID].&amp;[402]"/>
            <x15:cachedUniqueName index="2" name="[sales_data].[StoreID].&amp;[403]"/>
            <x15:cachedUniqueName index="3" name="[sales_data].[StoreID].&amp;[404]"/>
          </x15:cachedUniqueNames>
        </ext>
      </extLst>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1"/>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24768515" backgroundQuery="1" createdVersion="7" refreshedVersion="7" minRefreshableVersion="3" recordCount="0" supportSubquery="1" supportAdvancedDrill="1" xr:uid="{B157EE48-552E-4B07-A4CE-C344176B5382}">
  <cacheSource type="external" connectionId="4"/>
  <cacheFields count="3">
    <cacheField name="[Measures].[Total Sales]" caption="Total Sales" numFmtId="0" hierarchy="54" level="32767"/>
    <cacheField name="[sales_data].[CampaignID].[CampaignID]" caption="CampaignID" numFmtId="0" hierarchy="26"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sales_data].[CampaignID].&amp;[0]"/>
            <x15:cachedUniqueName index="1" name="[sales_data].[CampaignID].&amp;[1]"/>
            <x15:cachedUniqueName index="2" name="[sales_data].[CampaignID].&amp;[2]"/>
            <x15:cachedUniqueName index="3" name="[sales_data].[CampaignID].&amp;[3]"/>
          </x15:cachedUniqueNames>
        </ext>
      </extLst>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2"/>
      </fieldsUsage>
    </cacheHierarchy>
    <cacheHierarchy uniqueName="[sales_data].[CampaignID]" caption="CampaignID" attribute="1" defaultMemberUniqueName="[sales_data].[CampaignID].[All]" allUniqueName="[sales_data].[CampaignID].[All]" dimensionUniqueName="[sales_data]" displayFolder="" count="2" memberValueDatatype="20" unbalanced="0">
      <fieldsUsage count="2">
        <fieldUsage x="-1"/>
        <fieldUsage x="1"/>
      </fieldsUsage>
    </cacheHierarchy>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26157408" backgroundQuery="1" createdVersion="7" refreshedVersion="7" minRefreshableVersion="3" recordCount="0" supportSubquery="1" supportAdvancedDrill="1" xr:uid="{F869DCE8-4A1E-451C-994C-09A923A3D991}">
  <cacheSource type="external" connectionId="4"/>
  <cacheFields count="5">
    <cacheField name="[sales_data].[Year].[Year]" caption="Year" numFmtId="0" hierarchy="19" level="1">
      <sharedItems containsSemiMixedTypes="0" containsString="0" containsNumber="1" containsInteger="1" minValue="2023" maxValue="2025" count="2">
        <n v="2023"/>
        <n v="2025"/>
      </sharedItems>
      <extLst>
        <ext xmlns:x15="http://schemas.microsoft.com/office/spreadsheetml/2010/11/main" uri="{4F2E5C28-24EA-4eb8-9CBF-B6C8F9C3D259}">
          <x15:cachedUniqueNames>
            <x15:cachedUniqueName index="0" name="[sales_data].[Year].&amp;[2023]"/>
            <x15:cachedUniqueName index="1" name="[sales_data].[Year].&amp;[2025]"/>
          </x15:cachedUniqueNames>
        </ext>
      </extLst>
    </cacheField>
    <cacheField name="[sales_data].[Month Name].[Month Name]" caption="Month Name" numFmtId="0" hierarchy="20" level="1">
      <sharedItems count="2">
        <s v="January"/>
        <s v="May"/>
      </sharedItems>
    </cacheField>
    <cacheField name="[sales_data].[Quarter].[Quarter]" caption="Quarter" numFmtId="0" hierarchy="22" level="1">
      <sharedItems containsSemiMixedTypes="0" containsString="0" containsNumber="1" containsInteger="1" minValue="1" maxValue="2" count="2">
        <n v="1"/>
        <n v="2"/>
      </sharedItems>
      <extLst>
        <ext xmlns:x15="http://schemas.microsoft.com/office/spreadsheetml/2010/11/main" uri="{4F2E5C28-24EA-4eb8-9CBF-B6C8F9C3D259}">
          <x15:cachedUniqueNames>
            <x15:cachedUniqueName index="0" name="[sales_data].[Quarter].&amp;[1]"/>
            <x15:cachedUniqueName index="1" name="[sales_data].[Quarter].&amp;[2]"/>
          </x15:cachedUniqueNames>
        </ext>
      </extLst>
    </cacheField>
    <cacheField name="[Measures].[Sum of SaleAmount 2]" caption="Sum of SaleAmount 2" numFmtId="0" hierarchy="39" level="32767"/>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2" memberValueDatatype="20" unbalanced="0">
      <fieldsUsage count="2">
        <fieldUsage x="-1"/>
        <fieldUsage x="0"/>
      </fieldsUsage>
    </cacheHierarchy>
    <cacheHierarchy uniqueName="[sales_data].[Month Name]" caption="Month Name" attribute="1" defaultMemberUniqueName="[sales_data].[Month Name].[All]" allUniqueName="[sales_data].[Month Name].[All]" dimensionUniqueName="[sales_data]" displayFolder="" count="2" memberValueDatatype="130" unbalanced="0">
      <fieldsUsage count="2">
        <fieldUsage x="-1"/>
        <fieldUsage x="1"/>
      </fieldsUsage>
    </cacheHierarchy>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2" memberValueDatatype="20" unbalanced="0">
      <fieldsUsage count="2">
        <fieldUsage x="-1"/>
        <fieldUsage x="2"/>
      </fieldsUsage>
    </cacheHierarchy>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4"/>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oneField="1">
      <fieldsUsage count="1">
        <fieldUsage x="3"/>
      </fieldsUsage>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27777778" backgroundQuery="1" createdVersion="7" refreshedVersion="7" minRefreshableVersion="3" recordCount="0" supportSubquery="1" supportAdvancedDrill="1" xr:uid="{A4F871A4-28CA-4EB7-A4F3-C7B477213924}">
  <cacheSource type="external" connectionId="4"/>
  <cacheFields count="3">
    <cacheField name="[products_data].[UnitPrice].[UnitPrice]" caption="UnitPrice" numFmtId="0" hierarchy="16" level="1">
      <sharedItems containsSemiMixedTypes="0" containsString="0" containsNumber="1" minValue="619.36" maxValue="950.54" count="10">
        <n v="619.36"/>
        <n v="780.64"/>
        <n v="832.26"/>
        <n v="873.45"/>
        <n v="894.1"/>
        <n v="907.86"/>
        <n v="926.51"/>
        <n v="927.25"/>
        <n v="935.36"/>
        <n v="950.54"/>
      </sharedItems>
    </cacheField>
    <cacheField name="[Measures].[Total Sales]" caption="Total Sales" numFmtId="0" hierarchy="54" level="32767"/>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2" memberValueDatatype="5" unbalanced="0">
      <fieldsUsage count="2">
        <fieldUsage x="-1"/>
        <fieldUsage x="0"/>
      </fieldsUsage>
    </cacheHierarchy>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2"/>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1"/>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1250004" backgroundQuery="1" createdVersion="7" refreshedVersion="7" minRefreshableVersion="3" recordCount="0" supportSubquery="1" supportAdvancedDrill="1" xr:uid="{F3CA3E60-BDD5-4836-B89D-0DEBB93EEBB7}">
  <cacheSource type="external" connectionId="4"/>
  <cacheFields count="4">
    <cacheField name="[sales_data].[CampaignID].[CampaignID]" caption="CampaignID" numFmtId="0" hierarchy="26"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sales_data].[CampaignID].&amp;[0]"/>
            <x15:cachedUniqueName index="1" name="[sales_data].[CampaignID].&amp;[1]"/>
            <x15:cachedUniqueName index="2" name="[sales_data].[CampaignID].&amp;[2]"/>
            <x15:cachedUniqueName index="3" name="[sales_data].[CampaignID].&amp;[3]"/>
          </x15:cachedUniqueNames>
        </ext>
      </extLst>
    </cacheField>
    <cacheField name="[customers_data].[Name].[Name]" caption="Name" numFmtId="0" level="1">
      <sharedItems count="10">
        <s v="Brittany Johnson"/>
        <s v="David Brennan"/>
        <s v="Dr. Elizabeth Johnston DDS"/>
        <s v="Dustin Medina"/>
        <s v="Jessica Mora"/>
        <s v="Jonathan Andrade"/>
        <s v="Kerry Collins"/>
        <s v="Marvin Hamilton"/>
        <s v="Mike Davis"/>
        <s v="Taylor Clarke"/>
      </sharedItems>
    </cacheField>
    <cacheField name="[Measures].[Total Transaction]" caption="Total Transaction" numFmtId="0" hierarchy="56" level="32767"/>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2" memberValueDatatype="130" unbalanced="0">
      <fieldsUsage count="2">
        <fieldUsage x="-1"/>
        <fieldUsage x="1"/>
      </fieldsUsage>
    </cacheHierarchy>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3"/>
      </fieldsUsage>
    </cacheHierarchy>
    <cacheHierarchy uniqueName="[sales_data].[CampaignID]" caption="CampaignID" attribute="1" defaultMemberUniqueName="[sales_data].[CampaignID].[All]" allUniqueName="[sales_data].[CampaignID].[All]" dimensionUniqueName="[sales_data]" displayFolder="" count="2" memberValueDatatype="20" unbalanced="0">
      <fieldsUsage count="2">
        <fieldUsage x="-1"/>
        <fieldUsage x="0"/>
      </fieldsUsage>
    </cacheHierarchy>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oneField="1">
      <fieldsUsage count="1">
        <fieldUsage x="2"/>
      </fieldsUsage>
    </cacheHierarchy>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44328705" backgroundQuery="1" createdVersion="7" refreshedVersion="7" minRefreshableVersion="3" recordCount="0" supportSubquery="1" supportAdvancedDrill="1" xr:uid="{3B26D0FB-6C4A-49DF-95F2-704D49CE9595}">
  <cacheSource type="external" connectionId="4"/>
  <cacheFields count="5">
    <cacheField name="[customers_data].[Join Month Name].[Join Month Name]" caption="Join Month Name" numFmtId="0" hierarchy="5" level="1">
      <sharedItems count="5">
        <s v="April"/>
        <s v="August"/>
        <s v="May"/>
        <s v="October"/>
        <s v="September"/>
      </sharedItems>
    </cacheField>
    <cacheField name="[customers_data].[Day Name].[Day Name]" caption="Day Name" numFmtId="0" hierarchy="7" level="1">
      <sharedItems count="7">
        <s v="Friday"/>
        <s v="Monday"/>
        <s v="Saturday"/>
        <s v="Sunday"/>
        <s v="Thursday"/>
        <s v="Tuesday"/>
        <s v="Wednesday"/>
      </sharedItems>
    </cacheField>
    <cacheField name="[Measures].[Count of CustomerID]" caption="Count of CustomerID" numFmtId="0" hierarchy="45" level="32767"/>
    <cacheField name="[Measures].[Total Sales]" caption="Total Sales" numFmtId="0" hierarchy="54" level="32767"/>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2" memberValueDatatype="130" unbalanced="0">
      <fieldsUsage count="2">
        <fieldUsage x="-1"/>
        <fieldUsage x="0"/>
      </fieldsUsage>
    </cacheHierarchy>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2" memberValueDatatype="130" unbalanced="0">
      <fieldsUsage count="2">
        <fieldUsage x="-1"/>
        <fieldUsage x="1"/>
      </fieldsUsage>
    </cacheHierarchy>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4"/>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oneField="1">
      <fieldsUsage count="1">
        <fieldUsage x="2"/>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3"/>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791435184" backgroundQuery="1" createdVersion="7" refreshedVersion="7" minRefreshableVersion="3" recordCount="0" supportSubquery="1" supportAdvancedDrill="1" xr:uid="{6EF121D4-3804-4DCC-958B-343E2E0F43BD}">
  <cacheSource type="external" connectionId="4"/>
  <cacheFields count="2">
    <cacheField name="[Measures].[Sum of SaleAmount 2]" caption="Sum of SaleAmount 2" numFmtId="0" hierarchy="39" level="32767"/>
    <cacheField name="[customers_data].[CustomerID].[CustomerID]" caption="CustomerID" numFmtId="0" hierarchy="1" level="1">
      <sharedItems containsString="0" containsBlank="1" containsNumber="1" containsInteger="1" minValue="1000" maxValue="1199" count="201">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m/>
      </sharedItems>
      <extLst>
        <ext xmlns:x15="http://schemas.microsoft.com/office/spreadsheetml/2010/11/main" uri="{4F2E5C28-24EA-4eb8-9CBF-B6C8F9C3D259}">
          <x15:cachedUniqueNames>
            <x15:cachedUniqueName index="0" name="[customers_data].[CustomerID].&amp;[1000]"/>
            <x15:cachedUniqueName index="1" name="[customers_data].[CustomerID].&amp;[1001]"/>
            <x15:cachedUniqueName index="2" name="[customers_data].[CustomerID].&amp;[1002]"/>
            <x15:cachedUniqueName index="3" name="[customers_data].[CustomerID].&amp;[1003]"/>
            <x15:cachedUniqueName index="4" name="[customers_data].[CustomerID].&amp;[1004]"/>
            <x15:cachedUniqueName index="5" name="[customers_data].[CustomerID].&amp;[1005]"/>
            <x15:cachedUniqueName index="6" name="[customers_data].[CustomerID].&amp;[1006]"/>
            <x15:cachedUniqueName index="7" name="[customers_data].[CustomerID].&amp;[1007]"/>
            <x15:cachedUniqueName index="8" name="[customers_data].[CustomerID].&amp;[1008]"/>
            <x15:cachedUniqueName index="9" name="[customers_data].[CustomerID].&amp;[1009]"/>
            <x15:cachedUniqueName index="10" name="[customers_data].[CustomerID].&amp;[1010]"/>
            <x15:cachedUniqueName index="11" name="[customers_data].[CustomerID].&amp;[1011]"/>
            <x15:cachedUniqueName index="12" name="[customers_data].[CustomerID].&amp;[1012]"/>
            <x15:cachedUniqueName index="13" name="[customers_data].[CustomerID].&amp;[1013]"/>
            <x15:cachedUniqueName index="14" name="[customers_data].[CustomerID].&amp;[1014]"/>
            <x15:cachedUniqueName index="15" name="[customers_data].[CustomerID].&amp;[1015]"/>
            <x15:cachedUniqueName index="16" name="[customers_data].[CustomerID].&amp;[1016]"/>
            <x15:cachedUniqueName index="17" name="[customers_data].[CustomerID].&amp;[1017]"/>
            <x15:cachedUniqueName index="18" name="[customers_data].[CustomerID].&amp;[1018]"/>
            <x15:cachedUniqueName index="19" name="[customers_data].[CustomerID].&amp;[1019]"/>
            <x15:cachedUniqueName index="20" name="[customers_data].[CustomerID].&amp;[1020]"/>
            <x15:cachedUniqueName index="21" name="[customers_data].[CustomerID].&amp;[1021]"/>
            <x15:cachedUniqueName index="22" name="[customers_data].[CustomerID].&amp;[1022]"/>
            <x15:cachedUniqueName index="23" name="[customers_data].[CustomerID].&amp;[1023]"/>
            <x15:cachedUniqueName index="24" name="[customers_data].[CustomerID].&amp;[1024]"/>
            <x15:cachedUniqueName index="25" name="[customers_data].[CustomerID].&amp;[1025]"/>
            <x15:cachedUniqueName index="26" name="[customers_data].[CustomerID].&amp;[1026]"/>
            <x15:cachedUniqueName index="27" name="[customers_data].[CustomerID].&amp;[1027]"/>
            <x15:cachedUniqueName index="28" name="[customers_data].[CustomerID].&amp;[1028]"/>
            <x15:cachedUniqueName index="29" name="[customers_data].[CustomerID].&amp;[1029]"/>
            <x15:cachedUniqueName index="30" name="[customers_data].[CustomerID].&amp;[1030]"/>
            <x15:cachedUniqueName index="31" name="[customers_data].[CustomerID].&amp;[1031]"/>
            <x15:cachedUniqueName index="32" name="[customers_data].[CustomerID].&amp;[1032]"/>
            <x15:cachedUniqueName index="33" name="[customers_data].[CustomerID].&amp;[1033]"/>
            <x15:cachedUniqueName index="34" name="[customers_data].[CustomerID].&amp;[1034]"/>
            <x15:cachedUniqueName index="35" name="[customers_data].[CustomerID].&amp;[1035]"/>
            <x15:cachedUniqueName index="36" name="[customers_data].[CustomerID].&amp;[1036]"/>
            <x15:cachedUniqueName index="37" name="[customers_data].[CustomerID].&amp;[1037]"/>
            <x15:cachedUniqueName index="38" name="[customers_data].[CustomerID].&amp;[1038]"/>
            <x15:cachedUniqueName index="39" name="[customers_data].[CustomerID].&amp;[1039]"/>
            <x15:cachedUniqueName index="40" name="[customers_data].[CustomerID].&amp;[1040]"/>
            <x15:cachedUniqueName index="41" name="[customers_data].[CustomerID].&amp;[1041]"/>
            <x15:cachedUniqueName index="42" name="[customers_data].[CustomerID].&amp;[1042]"/>
            <x15:cachedUniqueName index="43" name="[customers_data].[CustomerID].&amp;[1043]"/>
            <x15:cachedUniqueName index="44" name="[customers_data].[CustomerID].&amp;[1044]"/>
            <x15:cachedUniqueName index="45" name="[customers_data].[CustomerID].&amp;[1045]"/>
            <x15:cachedUniqueName index="46" name="[customers_data].[CustomerID].&amp;[1046]"/>
            <x15:cachedUniqueName index="47" name="[customers_data].[CustomerID].&amp;[1047]"/>
            <x15:cachedUniqueName index="48" name="[customers_data].[CustomerID].&amp;[1048]"/>
            <x15:cachedUniqueName index="49" name="[customers_data].[CustomerID].&amp;[1049]"/>
            <x15:cachedUniqueName index="50" name="[customers_data].[CustomerID].&amp;[1050]"/>
            <x15:cachedUniqueName index="51" name="[customers_data].[CustomerID].&amp;[1051]"/>
            <x15:cachedUniqueName index="52" name="[customers_data].[CustomerID].&amp;[1052]"/>
            <x15:cachedUniqueName index="53" name="[customers_data].[CustomerID].&amp;[1053]"/>
            <x15:cachedUniqueName index="54" name="[customers_data].[CustomerID].&amp;[1054]"/>
            <x15:cachedUniqueName index="55" name="[customers_data].[CustomerID].&amp;[1055]"/>
            <x15:cachedUniqueName index="56" name="[customers_data].[CustomerID].&amp;[1056]"/>
            <x15:cachedUniqueName index="57" name="[customers_data].[CustomerID].&amp;[1057]"/>
            <x15:cachedUniqueName index="58" name="[customers_data].[CustomerID].&amp;[1058]"/>
            <x15:cachedUniqueName index="59" name="[customers_data].[CustomerID].&amp;[1059]"/>
            <x15:cachedUniqueName index="60" name="[customers_data].[CustomerID].&amp;[1060]"/>
            <x15:cachedUniqueName index="61" name="[customers_data].[CustomerID].&amp;[1061]"/>
            <x15:cachedUniqueName index="62" name="[customers_data].[CustomerID].&amp;[1062]"/>
            <x15:cachedUniqueName index="63" name="[customers_data].[CustomerID].&amp;[1063]"/>
            <x15:cachedUniqueName index="64" name="[customers_data].[CustomerID].&amp;[1064]"/>
            <x15:cachedUniqueName index="65" name="[customers_data].[CustomerID].&amp;[1065]"/>
            <x15:cachedUniqueName index="66" name="[customers_data].[CustomerID].&amp;[1066]"/>
            <x15:cachedUniqueName index="67" name="[customers_data].[CustomerID].&amp;[1067]"/>
            <x15:cachedUniqueName index="68" name="[customers_data].[CustomerID].&amp;[1068]"/>
            <x15:cachedUniqueName index="69" name="[customers_data].[CustomerID].&amp;[1069]"/>
            <x15:cachedUniqueName index="70" name="[customers_data].[CustomerID].&amp;[1070]"/>
            <x15:cachedUniqueName index="71" name="[customers_data].[CustomerID].&amp;[1071]"/>
            <x15:cachedUniqueName index="72" name="[customers_data].[CustomerID].&amp;[1072]"/>
            <x15:cachedUniqueName index="73" name="[customers_data].[CustomerID].&amp;[1073]"/>
            <x15:cachedUniqueName index="74" name="[customers_data].[CustomerID].&amp;[1074]"/>
            <x15:cachedUniqueName index="75" name="[customers_data].[CustomerID].&amp;[1075]"/>
            <x15:cachedUniqueName index="76" name="[customers_data].[CustomerID].&amp;[1076]"/>
            <x15:cachedUniqueName index="77" name="[customers_data].[CustomerID].&amp;[1077]"/>
            <x15:cachedUniqueName index="78" name="[customers_data].[CustomerID].&amp;[1078]"/>
            <x15:cachedUniqueName index="79" name="[customers_data].[CustomerID].&amp;[1079]"/>
            <x15:cachedUniqueName index="80" name="[customers_data].[CustomerID].&amp;[1080]"/>
            <x15:cachedUniqueName index="81" name="[customers_data].[CustomerID].&amp;[1081]"/>
            <x15:cachedUniqueName index="82" name="[customers_data].[CustomerID].&amp;[1082]"/>
            <x15:cachedUniqueName index="83" name="[customers_data].[CustomerID].&amp;[1083]"/>
            <x15:cachedUniqueName index="84" name="[customers_data].[CustomerID].&amp;[1084]"/>
            <x15:cachedUniqueName index="85" name="[customers_data].[CustomerID].&amp;[1085]"/>
            <x15:cachedUniqueName index="86" name="[customers_data].[CustomerID].&amp;[1086]"/>
            <x15:cachedUniqueName index="87" name="[customers_data].[CustomerID].&amp;[1087]"/>
            <x15:cachedUniqueName index="88" name="[customers_data].[CustomerID].&amp;[1088]"/>
            <x15:cachedUniqueName index="89" name="[customers_data].[CustomerID].&amp;[1089]"/>
            <x15:cachedUniqueName index="90" name="[customers_data].[CustomerID].&amp;[1090]"/>
            <x15:cachedUniqueName index="91" name="[customers_data].[CustomerID].&amp;[1091]"/>
            <x15:cachedUniqueName index="92" name="[customers_data].[CustomerID].&amp;[1092]"/>
            <x15:cachedUniqueName index="93" name="[customers_data].[CustomerID].&amp;[1093]"/>
            <x15:cachedUniqueName index="94" name="[customers_data].[CustomerID].&amp;[1094]"/>
            <x15:cachedUniqueName index="95" name="[customers_data].[CustomerID].&amp;[1095]"/>
            <x15:cachedUniqueName index="96" name="[customers_data].[CustomerID].&amp;[1096]"/>
            <x15:cachedUniqueName index="97" name="[customers_data].[CustomerID].&amp;[1097]"/>
            <x15:cachedUniqueName index="98" name="[customers_data].[CustomerID].&amp;[1098]"/>
            <x15:cachedUniqueName index="99" name="[customers_data].[CustomerID].&amp;[1099]"/>
            <x15:cachedUniqueName index="100" name="[customers_data].[CustomerID].&amp;[1100]"/>
            <x15:cachedUniqueName index="101" name="[customers_data].[CustomerID].&amp;[1101]"/>
            <x15:cachedUniqueName index="102" name="[customers_data].[CustomerID].&amp;[1102]"/>
            <x15:cachedUniqueName index="103" name="[customers_data].[CustomerID].&amp;[1103]"/>
            <x15:cachedUniqueName index="104" name="[customers_data].[CustomerID].&amp;[1104]"/>
            <x15:cachedUniqueName index="105" name="[customers_data].[CustomerID].&amp;[1105]"/>
            <x15:cachedUniqueName index="106" name="[customers_data].[CustomerID].&amp;[1106]"/>
            <x15:cachedUniqueName index="107" name="[customers_data].[CustomerID].&amp;[1107]"/>
            <x15:cachedUniqueName index="108" name="[customers_data].[CustomerID].&amp;[1108]"/>
            <x15:cachedUniqueName index="109" name="[customers_data].[CustomerID].&amp;[1109]"/>
            <x15:cachedUniqueName index="110" name="[customers_data].[CustomerID].&amp;[1110]"/>
            <x15:cachedUniqueName index="111" name="[customers_data].[CustomerID].&amp;[1111]"/>
            <x15:cachedUniqueName index="112" name="[customers_data].[CustomerID].&amp;[1112]"/>
            <x15:cachedUniqueName index="113" name="[customers_data].[CustomerID].&amp;[1113]"/>
            <x15:cachedUniqueName index="114" name="[customers_data].[CustomerID].&amp;[1114]"/>
            <x15:cachedUniqueName index="115" name="[customers_data].[CustomerID].&amp;[1115]"/>
            <x15:cachedUniqueName index="116" name="[customers_data].[CustomerID].&amp;[1116]"/>
            <x15:cachedUniqueName index="117" name="[customers_data].[CustomerID].&amp;[1117]"/>
            <x15:cachedUniqueName index="118" name="[customers_data].[CustomerID].&amp;[1118]"/>
            <x15:cachedUniqueName index="119" name="[customers_data].[CustomerID].&amp;[1119]"/>
            <x15:cachedUniqueName index="120" name="[customers_data].[CustomerID].&amp;[1120]"/>
            <x15:cachedUniqueName index="121" name="[customers_data].[CustomerID].&amp;[1121]"/>
            <x15:cachedUniqueName index="122" name="[customers_data].[CustomerID].&amp;[1122]"/>
            <x15:cachedUniqueName index="123" name="[customers_data].[CustomerID].&amp;[1123]"/>
            <x15:cachedUniqueName index="124" name="[customers_data].[CustomerID].&amp;[1124]"/>
            <x15:cachedUniqueName index="125" name="[customers_data].[CustomerID].&amp;[1125]"/>
            <x15:cachedUniqueName index="126" name="[customers_data].[CustomerID].&amp;[1126]"/>
            <x15:cachedUniqueName index="127" name="[customers_data].[CustomerID].&amp;[1127]"/>
            <x15:cachedUniqueName index="128" name="[customers_data].[CustomerID].&amp;[1128]"/>
            <x15:cachedUniqueName index="129" name="[customers_data].[CustomerID].&amp;[1129]"/>
            <x15:cachedUniqueName index="130" name="[customers_data].[CustomerID].&amp;[1130]"/>
            <x15:cachedUniqueName index="131" name="[customers_data].[CustomerID].&amp;[1131]"/>
            <x15:cachedUniqueName index="132" name="[customers_data].[CustomerID].&amp;[1132]"/>
            <x15:cachedUniqueName index="133" name="[customers_data].[CustomerID].&amp;[1133]"/>
            <x15:cachedUniqueName index="134" name="[customers_data].[CustomerID].&amp;[1134]"/>
            <x15:cachedUniqueName index="135" name="[customers_data].[CustomerID].&amp;[1135]"/>
            <x15:cachedUniqueName index="136" name="[customers_data].[CustomerID].&amp;[1136]"/>
            <x15:cachedUniqueName index="137" name="[customers_data].[CustomerID].&amp;[1137]"/>
            <x15:cachedUniqueName index="138" name="[customers_data].[CustomerID].&amp;[1138]"/>
            <x15:cachedUniqueName index="139" name="[customers_data].[CustomerID].&amp;[1139]"/>
            <x15:cachedUniqueName index="140" name="[customers_data].[CustomerID].&amp;[1140]"/>
            <x15:cachedUniqueName index="141" name="[customers_data].[CustomerID].&amp;[1141]"/>
            <x15:cachedUniqueName index="142" name="[customers_data].[CustomerID].&amp;[1142]"/>
            <x15:cachedUniqueName index="143" name="[customers_data].[CustomerID].&amp;[1143]"/>
            <x15:cachedUniqueName index="144" name="[customers_data].[CustomerID].&amp;[1144]"/>
            <x15:cachedUniqueName index="145" name="[customers_data].[CustomerID].&amp;[1145]"/>
            <x15:cachedUniqueName index="146" name="[customers_data].[CustomerID].&amp;[1146]"/>
            <x15:cachedUniqueName index="147" name="[customers_data].[CustomerID].&amp;[1147]"/>
            <x15:cachedUniqueName index="148" name="[customers_data].[CustomerID].&amp;[1148]"/>
            <x15:cachedUniqueName index="149" name="[customers_data].[CustomerID].&amp;[1149]"/>
            <x15:cachedUniqueName index="150" name="[customers_data].[CustomerID].&amp;[1150]"/>
            <x15:cachedUniqueName index="151" name="[customers_data].[CustomerID].&amp;[1151]"/>
            <x15:cachedUniqueName index="152" name="[customers_data].[CustomerID].&amp;[1152]"/>
            <x15:cachedUniqueName index="153" name="[customers_data].[CustomerID].&amp;[1153]"/>
            <x15:cachedUniqueName index="154" name="[customers_data].[CustomerID].&amp;[1154]"/>
            <x15:cachedUniqueName index="155" name="[customers_data].[CustomerID].&amp;[1155]"/>
            <x15:cachedUniqueName index="156" name="[customers_data].[CustomerID].&amp;[1156]"/>
            <x15:cachedUniqueName index="157" name="[customers_data].[CustomerID].&amp;[1157]"/>
            <x15:cachedUniqueName index="158" name="[customers_data].[CustomerID].&amp;[1158]"/>
            <x15:cachedUniqueName index="159" name="[customers_data].[CustomerID].&amp;[1159]"/>
            <x15:cachedUniqueName index="160" name="[customers_data].[CustomerID].&amp;[1160]"/>
            <x15:cachedUniqueName index="161" name="[customers_data].[CustomerID].&amp;[1161]"/>
            <x15:cachedUniqueName index="162" name="[customers_data].[CustomerID].&amp;[1162]"/>
            <x15:cachedUniqueName index="163" name="[customers_data].[CustomerID].&amp;[1163]"/>
            <x15:cachedUniqueName index="164" name="[customers_data].[CustomerID].&amp;[1164]"/>
            <x15:cachedUniqueName index="165" name="[customers_data].[CustomerID].&amp;[1165]"/>
            <x15:cachedUniqueName index="166" name="[customers_data].[CustomerID].&amp;[1166]"/>
            <x15:cachedUniqueName index="167" name="[customers_data].[CustomerID].&amp;[1167]"/>
            <x15:cachedUniqueName index="168" name="[customers_data].[CustomerID].&amp;[1168]"/>
            <x15:cachedUniqueName index="169" name="[customers_data].[CustomerID].&amp;[1169]"/>
            <x15:cachedUniqueName index="170" name="[customers_data].[CustomerID].&amp;[1170]"/>
            <x15:cachedUniqueName index="171" name="[customers_data].[CustomerID].&amp;[1171]"/>
            <x15:cachedUniqueName index="172" name="[customers_data].[CustomerID].&amp;[1172]"/>
            <x15:cachedUniqueName index="173" name="[customers_data].[CustomerID].&amp;[1173]"/>
            <x15:cachedUniqueName index="174" name="[customers_data].[CustomerID].&amp;[1174]"/>
            <x15:cachedUniqueName index="175" name="[customers_data].[CustomerID].&amp;[1175]"/>
            <x15:cachedUniqueName index="176" name="[customers_data].[CustomerID].&amp;[1176]"/>
            <x15:cachedUniqueName index="177" name="[customers_data].[CustomerID].&amp;[1177]"/>
            <x15:cachedUniqueName index="178" name="[customers_data].[CustomerID].&amp;[1178]"/>
            <x15:cachedUniqueName index="179" name="[customers_data].[CustomerID].&amp;[1179]"/>
            <x15:cachedUniqueName index="180" name="[customers_data].[CustomerID].&amp;[1180]"/>
            <x15:cachedUniqueName index="181" name="[customers_data].[CustomerID].&amp;[1181]"/>
            <x15:cachedUniqueName index="182" name="[customers_data].[CustomerID].&amp;[1182]"/>
            <x15:cachedUniqueName index="183" name="[customers_data].[CustomerID].&amp;[1183]"/>
            <x15:cachedUniqueName index="184" name="[customers_data].[CustomerID].&amp;[1184]"/>
            <x15:cachedUniqueName index="185" name="[customers_data].[CustomerID].&amp;[1185]"/>
            <x15:cachedUniqueName index="186" name="[customers_data].[CustomerID].&amp;[1186]"/>
            <x15:cachedUniqueName index="187" name="[customers_data].[CustomerID].&amp;[1187]"/>
            <x15:cachedUniqueName index="188" name="[customers_data].[CustomerID].&amp;[1188]"/>
            <x15:cachedUniqueName index="189" name="[customers_data].[CustomerID].&amp;[1189]"/>
            <x15:cachedUniqueName index="190" name="[customers_data].[CustomerID].&amp;[1190]"/>
            <x15:cachedUniqueName index="191" name="[customers_data].[CustomerID].&amp;[1191]"/>
            <x15:cachedUniqueName index="192" name="[customers_data].[CustomerID].&amp;[1192]"/>
            <x15:cachedUniqueName index="193" name="[customers_data].[CustomerID].&amp;[1193]"/>
            <x15:cachedUniqueName index="194" name="[customers_data].[CustomerID].&amp;[1194]"/>
            <x15:cachedUniqueName index="195" name="[customers_data].[CustomerID].&amp;[1195]"/>
            <x15:cachedUniqueName index="196" name="[customers_data].[CustomerID].&amp;[1196]"/>
            <x15:cachedUniqueName index="197" name="[customers_data].[CustomerID].&amp;[1197]"/>
            <x15:cachedUniqueName index="198" name="[customers_data].[CustomerID].&amp;[1198]"/>
            <x15:cachedUniqueName index="199" name="[customers_data].[CustomerID].&amp;[1199]"/>
          </x15:cachedUniqueNames>
        </ext>
      </extLst>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2" memberValueDatatype="20" unbalanced="0">
      <fieldsUsage count="2">
        <fieldUsage x="-1"/>
        <fieldUsage x="1"/>
      </fieldsUsage>
    </cacheHierarchy>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0" memberValueDatatype="20" unbalanced="0"/>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2"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oneField="1">
      <fieldsUsage count="1">
        <fieldUsage x="0"/>
      </fieldsUsage>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59074421298" backgroundQuery="1" createdVersion="7" refreshedVersion="7" minRefreshableVersion="3" recordCount="0" supportSubquery="1" supportAdvancedDrill="1" xr:uid="{82AB2F4F-9D36-4FB8-B0A4-9ED5FC711D43}">
  <cacheSource type="external" connectionId="4"/>
  <cacheFields count="4">
    <cacheField name="[customers_data].[Region_Up].[Region_Up]" caption="Region_Up" numFmtId="0" hierarchy="2" level="1">
      <sharedItems count="6">
        <s v="Central"/>
        <s v="East"/>
        <s v="North"/>
        <s v="South"/>
        <s v="South-West"/>
        <s v="West"/>
      </sharedItems>
    </cacheField>
    <cacheField name="[Measures].[Total Sales]" caption="Total Sales" numFmtId="0" hierarchy="54" level="32767"/>
    <cacheField name="[Measures].[Total Transaction]" caption="Total Transaction" numFmtId="0" hierarchy="56" level="32767"/>
    <cacheField name="[Measures].[Count of CustomerID]" caption="Count of CustomerID" numFmtId="0" hierarchy="45" level="32767"/>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fieldsUsage count="2">
        <fieldUsage x="-1"/>
        <fieldUsage x="0"/>
      </fieldsUsage>
    </cacheHierarchy>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oneField="1">
      <fieldsUsage count="1">
        <fieldUsage x="3"/>
      </fieldsUsage>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1"/>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oneField="1">
      <fieldsUsage count="1">
        <fieldUsage x="2"/>
      </fieldsUsage>
    </cacheHierarchy>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21759259" backgroundQuery="1" createdVersion="3" refreshedVersion="7" minRefreshableVersion="3" recordCount="0" supportSubquery="1" supportAdvancedDrill="1" xr:uid="{406D7D61-8A21-433F-90A7-80E1CDA2F36B}">
  <cacheSource type="external" connectionId="4">
    <extLst>
      <ext xmlns:x14="http://schemas.microsoft.com/office/spreadsheetml/2009/9/main" uri="{F057638F-6D5F-4e77-A914-E7F072B9BCA8}">
        <x14:sourceConnection name="ThisWorkbookDataModel"/>
      </ext>
    </extLst>
  </cacheSource>
  <cacheFields count="0"/>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793058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2754628" backgroundQuery="1" createdVersion="7" refreshedVersion="7" minRefreshableVersion="3" recordCount="0" supportSubquery="1" supportAdvancedDrill="1" xr:uid="{4D377B21-FF13-4E8C-BFC5-EE2399218232}">
  <cacheSource type="external" connectionId="4">
    <extLst>
      <ext xmlns:x14="http://schemas.microsoft.com/office/spreadsheetml/2009/9/main" uri="{F057638F-6D5F-4e77-A914-E7F072B9BCA8}">
        <x14:sourceConnection name="ThisWorkbookDataModel"/>
      </ext>
    </extLst>
  </cacheSource>
  <cacheFields count="4">
    <cacheField name="[Measures].[Total Sales]" caption="Total Sales" numFmtId="0" hierarchy="54" level="32767"/>
    <cacheField name="[products_data].[Category].[Category]" caption="Category" numFmtId="0" hierarchy="13" level="1">
      <sharedItems count="4">
        <s v="Clothing"/>
        <s v="Electronics"/>
        <s v="Home"/>
        <s v="Office"/>
      </sharedItems>
    </cacheField>
    <cacheField name="[customers_data].[Join Month Name].[Join Month Name]" caption="Join Month Name" numFmtId="0" hierarchy="5" level="1">
      <sharedItems count="10">
        <s v="April"/>
        <s v="August"/>
        <s v="December"/>
        <s v="February"/>
        <s v="July"/>
        <s v="June"/>
        <s v="May"/>
        <s v="November"/>
        <s v="October"/>
        <s v="September"/>
      </sharedItems>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2" memberValueDatatype="130" unbalanced="0">
      <fieldsUsage count="2">
        <fieldUsage x="-1"/>
        <fieldUsage x="2"/>
      </fieldsUsage>
    </cacheHierarchy>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1"/>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3"/>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8270010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425926" backgroundQuery="1" createdVersion="7" refreshedVersion="7" minRefreshableVersion="3" recordCount="0" supportSubquery="1" supportAdvancedDrill="1" xr:uid="{46E706BA-9799-47EA-8470-A8B540BC0CE4}">
  <cacheSource type="external" connectionId="4">
    <extLst>
      <ext xmlns:x14="http://schemas.microsoft.com/office/spreadsheetml/2009/9/main" uri="{F057638F-6D5F-4e77-A914-E7F072B9BCA8}">
        <x14:sourceConnection name="ThisWorkbookDataModel"/>
      </ext>
    </extLst>
  </cacheSource>
  <cacheFields count="4">
    <cacheField name="[customers_data].[Name].[Name]" caption="Name" numFmtId="0" level="1">
      <sharedItems count="7">
        <s v="Brittany Johnson"/>
        <s v="David Brennan"/>
        <s v="Dr. Elizabeth Johnston DDS"/>
        <s v="Dustin Medina"/>
        <s v="Jessica Mora"/>
        <s v="Marvin Hamilton"/>
        <s v="Taylor Clarke"/>
      </sharedItems>
    </cacheField>
    <cacheField name="[Measures].[Total Transaction]" caption="Total Transaction" numFmtId="0" hierarchy="56" level="32767"/>
    <cacheField name="[products_data].[Category].[Category]" caption="Category" numFmtId="0" hierarchy="13" level="1">
      <sharedItems containsSemiMixedTypes="0" containsNonDate="0" containsString="0"/>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2" memberValueDatatype="130" unbalanced="0">
      <fieldsUsage count="2">
        <fieldUsage x="-1"/>
        <fieldUsage x="0"/>
      </fieldsUsage>
    </cacheHierarchy>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2"/>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3"/>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oneField="1">
      <fieldsUsage count="1">
        <fieldUsage x="1"/>
      </fieldsUsage>
    </cacheHierarchy>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757440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5532407" backgroundQuery="1" createdVersion="7" refreshedVersion="7" minRefreshableVersion="3" recordCount="0" supportSubquery="1" supportAdvancedDrill="1" xr:uid="{F0166610-D3EB-4310-B6A0-F5CBA796E36B}">
  <cacheSource type="external" connectionId="4">
    <extLst>
      <ext xmlns:x14="http://schemas.microsoft.com/office/spreadsheetml/2009/9/main" uri="{F057638F-6D5F-4e77-A914-E7F072B9BCA8}">
        <x14:sourceConnection name="ThisWorkbookDataModel"/>
      </ext>
    </extLst>
  </cacheSource>
  <cacheFields count="4">
    <cacheField name="[Measures].[Total Sales]" caption="Total Sales" numFmtId="0" hierarchy="54" level="32767"/>
    <cacheField name="[products_data].[Category].[Category]" caption="Category" numFmtId="0" hierarchy="13" level="1">
      <sharedItems count="4">
        <s v="Clothing"/>
        <s v="Electronics"/>
        <s v="Home"/>
        <s v="Office"/>
      </sharedItems>
    </cacheField>
    <cacheField name="[customers_data].[Region_Up].[Region_Up]" caption="Region_Up" numFmtId="0" hierarchy="2" level="1">
      <sharedItems containsSemiMixedTypes="0" containsNonDate="0" containsString="0"/>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fieldsUsage count="2">
        <fieldUsage x="-1"/>
        <fieldUsage x="2"/>
      </fieldsUsage>
    </cacheHierarchy>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1"/>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3"/>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0028518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7037038" backgroundQuery="1" createdVersion="7" refreshedVersion="7" minRefreshableVersion="3" recordCount="0" supportSubquery="1" supportAdvancedDrill="1" xr:uid="{6E4AC6ED-6342-4CB5-9502-13B8077498E7}">
  <cacheSource type="external" connectionId="4">
    <extLst>
      <ext xmlns:x14="http://schemas.microsoft.com/office/spreadsheetml/2009/9/main" uri="{F057638F-6D5F-4e77-A914-E7F072B9BCA8}">
        <x14:sourceConnection name="ThisWorkbookDataModel"/>
      </ext>
    </extLst>
  </cacheSource>
  <cacheFields count="5">
    <cacheField name="[Measures].[Total Sales]" caption="Total Sales" numFmtId="0" hierarchy="54" level="32767"/>
    <cacheField name="[products_data].[ProductName].[ProductName]" caption="ProductName" numFmtId="0" hierarchy="12" level="1">
      <sharedItems count="6">
        <s v="Electronics-Be"/>
        <s v="Electronics-Letter"/>
        <s v="Home-Of"/>
        <s v="Office-Doctor"/>
        <s v="Office-Soon"/>
        <s v="Office-Who"/>
      </sharedItems>
    </cacheField>
    <cacheField name="[customers_data].[Region_Up].[Region_Up]" caption="Region_Up" numFmtId="0" hierarchy="2" level="1">
      <sharedItems containsSemiMixedTypes="0" containsNonDate="0" containsString="0"/>
    </cacheField>
    <cacheField name="[products_data].[Category].[Category]" caption="Category" numFmtId="0" hierarchy="13" level="1">
      <sharedItems containsSemiMixedTypes="0" containsNonDate="0" containsString="0"/>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fieldsUsage count="2">
        <fieldUsage x="-1"/>
        <fieldUsage x="2"/>
      </fieldsUsage>
    </cacheHierarchy>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3"/>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4"/>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6197511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41319441" backgroundQuery="1" createdVersion="7" refreshedVersion="7" minRefreshableVersion="3" recordCount="0" supportSubquery="1" supportAdvancedDrill="1" xr:uid="{26FD3C28-00E0-4C15-A07F-8EBB1F35ACD2}">
  <cacheSource type="external" connectionId="4">
    <extLst>
      <ext xmlns:x14="http://schemas.microsoft.com/office/spreadsheetml/2009/9/main" uri="{F057638F-6D5F-4e77-A914-E7F072B9BCA8}">
        <x14:sourceConnection name="ThisWorkbookDataModel"/>
      </ext>
    </extLst>
  </cacheSource>
  <cacheFields count="5">
    <cacheField name="[Measures].[Total Sales]" caption="Total Sales" numFmtId="0" hierarchy="54" level="32767"/>
    <cacheField name="[products_data].[ProductName].[ProductName]" caption="ProductName" numFmtId="0" hierarchy="12" level="1">
      <sharedItems count="6">
        <s v="Electronics-Be"/>
        <s v="Electronics-Letter"/>
        <s v="Home-Of"/>
        <s v="Office-Doctor"/>
        <s v="Office-Soon"/>
        <s v="Office-Who"/>
      </sharedItems>
    </cacheField>
    <cacheField name="[sales_data].[StoreID].[StoreID]" caption="StoreID" numFmtId="0" hierarchy="25" level="1">
      <sharedItems containsSemiMixedTypes="0" containsString="0" containsNumber="1" containsInteger="1" minValue="401" maxValue="404" count="4">
        <n v="401"/>
        <n v="402"/>
        <n v="403"/>
        <n v="404"/>
      </sharedItems>
      <extLst>
        <ext xmlns:x15="http://schemas.microsoft.com/office/spreadsheetml/2010/11/main" uri="{4F2E5C28-24EA-4eb8-9CBF-B6C8F9C3D259}">
          <x15:cachedUniqueNames>
            <x15:cachedUniqueName index="0" name="[sales_data].[StoreID].&amp;[401]"/>
            <x15:cachedUniqueName index="1" name="[sales_data].[StoreID].&amp;[402]"/>
            <x15:cachedUniqueName index="2" name="[sales_data].[StoreID].&amp;[403]"/>
            <x15:cachedUniqueName index="3" name="[sales_data].[StoreID].&amp;[404]"/>
          </x15:cachedUniqueNames>
        </ext>
      </extLst>
    </cacheField>
    <cacheField name="[customers_data].[Region_Up].[Region_Up]" caption="Region_Up" numFmtId="0" hierarchy="2" level="1">
      <sharedItems containsSemiMixedTypes="0" containsNonDate="0" containsString="0"/>
    </cacheField>
    <cacheField name="[products_data].[Category].[Category]" caption="Category" numFmtId="0" hierarchy="13"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fieldsUsage count="2">
        <fieldUsage x="-1"/>
        <fieldUsage x="3"/>
      </fieldsUsage>
    </cacheHierarchy>
    <cacheHierarchy uniqueName="[customers_data].[JoinDate]" caption="JoinDate" attribute="1" time="1" defaultMemberUniqueName="[customers_data].[JoinDate].[All]" allUniqueName="[customers_data].[JoinDate].[All]" dimensionUniqueName="[customers_data]" displayFolder="" count="2"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2" memberValueDatatype="130" unbalanced="0">
      <fieldsUsage count="2">
        <fieldUsage x="-1"/>
        <fieldUsage x="1"/>
      </fieldsUsage>
    </cacheHierarchy>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4"/>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2"/>
      </fieldsUsage>
    </cacheHierarchy>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780495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42708334" backgroundQuery="1" createdVersion="7" refreshedVersion="7" minRefreshableVersion="3" recordCount="0" supportSubquery="1" supportAdvancedDrill="1" xr:uid="{9CFA75AD-CCC5-4141-BD85-993BE640DFD8}">
  <cacheSource type="external" connectionId="4">
    <extLst>
      <ext xmlns:x14="http://schemas.microsoft.com/office/spreadsheetml/2009/9/main" uri="{F057638F-6D5F-4e77-A914-E7F072B9BCA8}">
        <x14:sourceConnection name="ThisWorkbookDataModel"/>
      </ext>
    </extLst>
  </cacheSource>
  <cacheFields count="5">
    <cacheField name="[Measures].[Total Sales]" caption="Total Sales" numFmtId="0" hierarchy="54" level="32767"/>
    <cacheField name="[products_data].[Category].[Category]" caption="Category" numFmtId="0" hierarchy="13" level="1">
      <sharedItems count="4">
        <s v="Clothing"/>
        <s v="Electronics"/>
        <s v="Home"/>
        <s v="Office"/>
      </sharedItems>
    </cacheField>
    <cacheField name="[sales_data].[CampaignID].[CampaignID]" caption="CampaignID" numFmtId="0" hierarchy="26"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sales_data].[CampaignID].&amp;[0]"/>
            <x15:cachedUniqueName index="1" name="[sales_data].[CampaignID].&amp;[1]"/>
            <x15:cachedUniqueName index="2" name="[sales_data].[CampaignID].&amp;[2]"/>
            <x15:cachedUniqueName index="3" name="[sales_data].[CampaignID].&amp;[3]"/>
          </x15:cachedUniqueNames>
        </ext>
      </extLst>
    </cacheField>
    <cacheField name="[customers_data].[Region_Up].[Region_Up]" caption="Region_Up" numFmtId="0" hierarchy="2" level="1">
      <sharedItems containsSemiMixedTypes="0" containsNonDate="0" containsString="0"/>
    </cacheField>
    <cacheField name="[sales_data].[StoreID].[StoreID]" caption="StoreID" numFmtId="0" hierarchy="25" level="1">
      <sharedItems containsSemiMixedTypes="0" containsNonDate="0" containsString="0"/>
    </cacheField>
  </cacheFields>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2" memberValueDatatype="130" unbalanced="0">
      <fieldsUsage count="2">
        <fieldUsage x="-1"/>
        <fieldUsage x="3"/>
      </fieldsUsage>
    </cacheHierarchy>
    <cacheHierarchy uniqueName="[customers_data].[JoinDate]" caption="JoinDate" attribute="1" time="1" defaultMemberUniqueName="[customers_data].[JoinDate].[All]" allUniqueName="[customers_data].[JoinDate].[All]" dimensionUniqueName="[customers_data]" displayFolder="" count="0"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2" memberValueDatatype="130" unbalanced="0">
      <fieldsUsage count="2">
        <fieldUsage x="-1"/>
        <fieldUsage x="1"/>
      </fieldsUsage>
    </cacheHierarchy>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2" memberValueDatatype="20" unbalanced="0">
      <fieldsUsage count="2">
        <fieldUsage x="-1"/>
        <fieldUsage x="4"/>
      </fieldsUsage>
    </cacheHierarchy>
    <cacheHierarchy uniqueName="[sales_data].[CampaignID]" caption="CampaignID" attribute="1" defaultMemberUniqueName="[sales_data].[CampaignID].[All]" allUniqueName="[sales_data].[CampaignID].[All]" dimensionUniqueName="[sales_data]" displayFolder="" count="2" memberValueDatatype="20" unbalanced="0">
      <fieldsUsage count="2">
        <fieldUsage x="-1"/>
        <fieldUsage x="2"/>
      </fieldsUsage>
    </cacheHierarchy>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oneField="1">
      <fieldsUsage count="1">
        <fieldUsage x="0"/>
      </fieldsUsage>
    </cacheHierarchy>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4">
    <dimension name="customers_data" uniqueName="[customers_data]" caption="customers_data"/>
    <dimension measure="1" name="Measures" uniqueName="[Measures]" caption="Measures"/>
    <dimension name="products_data" uniqueName="[products_data]" caption="products_data"/>
    <dimension name="sales_data" uniqueName="[sales_data]" caption="sales_data"/>
  </dimensions>
  <measureGroups count="3">
    <measureGroup name="customers_data" caption="customers_data"/>
    <measureGroup name="products_data" caption="products_data"/>
    <measureGroup name="sales_data" caption="sales_data"/>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0158502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7280" refreshedDate="46267.446238078701" backgroundQuery="1" createdVersion="3" refreshedVersion="7" minRefreshableVersion="3" recordCount="0" supportSubquery="1" supportAdvancedDrill="1" xr:uid="{957DB2A5-3BEF-4027-BC7D-6DF7D8294DB1}">
  <cacheSource type="external" connectionId="4">
    <extLst>
      <ext xmlns:x14="http://schemas.microsoft.com/office/spreadsheetml/2009/9/main" uri="{F057638F-6D5F-4e77-A914-E7F072B9BCA8}">
        <x14:sourceConnection name="ThisWorkbookDataModel"/>
      </ext>
    </extLst>
  </cacheSource>
  <cacheFields count="0"/>
  <cacheHierarchies count="62">
    <cacheHierarchy uniqueName="[customers_data].[Name]" caption="Name" attribute="1" defaultMemberUniqueName="[customers_data].[Name].[All]" allUniqueName="[customers_data].[Name].[All]" dimensionUniqueName="[customers_data]" displayFolder="" count="0" memberValueDatatype="130" unbalanced="0"/>
    <cacheHierarchy uniqueName="[customers_data].[CustomerID]" caption="CustomerID" attribute="1" defaultMemberUniqueName="[customers_data].[CustomerID].[All]" allUniqueName="[customers_data].[CustomerID].[All]" dimensionUniqueName="[customers_data]" displayFolder="" count="0" memberValueDatatype="20" unbalanced="0"/>
    <cacheHierarchy uniqueName="[customers_data].[Region_Up]" caption="Region_Up" attribute="1" defaultMemberUniqueName="[customers_data].[Region_Up].[All]" allUniqueName="[customers_data].[Region_Up].[All]" dimensionUniqueName="[customers_data]" displayFolder="" count="0" memberValueDatatype="130" unbalanced="0"/>
    <cacheHierarchy uniqueName="[customers_data].[JoinDate]" caption="JoinDate" attribute="1" time="1" defaultMemberUniqueName="[customers_data].[JoinDate].[All]" allUniqueName="[customers_data].[JoinDate].[All]" dimensionUniqueName="[customers_data]" displayFolder="" count="2" memberValueDatatype="7" unbalanced="0"/>
    <cacheHierarchy uniqueName="[customers_data].[Year Joing]" caption="Year Joing" attribute="1" defaultMemberUniqueName="[customers_data].[Year Joing].[All]" allUniqueName="[customers_data].[Year Joing].[All]" dimensionUniqueName="[customers_data]" displayFolder="" count="0" memberValueDatatype="20" unbalanced="0"/>
    <cacheHierarchy uniqueName="[customers_data].[Join Month Name]" caption="Join Month Name" attribute="1" defaultMemberUniqueName="[customers_data].[Join Month Name].[All]" allUniqueName="[customers_data].[Join Month Name].[All]" dimensionUniqueName="[customers_data]" displayFolder="" count="0" memberValueDatatype="130" unbalanced="0"/>
    <cacheHierarchy uniqueName="[customers_data].[Quarter Join]" caption="Quarter Join" attribute="1" defaultMemberUniqueName="[customers_data].[Quarter Join].[All]" allUniqueName="[customers_data].[Quarter Join].[All]" dimensionUniqueName="[customers_data]" displayFolder="" count="0" memberValueDatatype="20" unbalanced="0"/>
    <cacheHierarchy uniqueName="[customers_data].[Day Name]" caption="Day Name" attribute="1" defaultMemberUniqueName="[customers_data].[Day Name].[All]" allUniqueName="[customers_data].[Day Name].[All]" dimensionUniqueName="[customers_data]" displayFolder="" count="0" memberValueDatatype="130" unbalanced="0"/>
    <cacheHierarchy uniqueName="[customers_data].[JoinDate (Year)]" caption="JoinDate (Year)" attribute="1" defaultMemberUniqueName="[customers_data].[JoinDate (Year)].[All]" allUniqueName="[customers_data].[JoinDate (Year)].[All]" dimensionUniqueName="[customers_data]" displayFolder="" count="0" memberValueDatatype="130" unbalanced="0"/>
    <cacheHierarchy uniqueName="[customers_data].[JoinDate (Quarter)]" caption="JoinDate (Quarter)" attribute="1" defaultMemberUniqueName="[customers_data].[JoinDate (Quarter)].[All]" allUniqueName="[customers_data].[JoinDate (Quarter)].[All]" dimensionUniqueName="[customers_data]" displayFolder="" count="0" memberValueDatatype="130" unbalanced="0"/>
    <cacheHierarchy uniqueName="[customers_data].[JoinDate (Month)]" caption="JoinDate (Month)" attribute="1" defaultMemberUniqueName="[customers_data].[JoinDate (Month)].[All]" allUniqueName="[customers_data].[JoinDate (Month)].[All]" dimensionUniqueName="[customers_data]" displayFolder="" count="0" memberValueDatatype="130" unbalanced="0"/>
    <cacheHierarchy uniqueName="[products_data].[ProductID]" caption="ProductID" attribute="1" defaultMemberUniqueName="[products_data].[ProductID].[All]" allUniqueName="[products_data].[ProductID].[All]" dimensionUniqueName="[products_data]" displayFolder="" count="0" memberValueDatatype="20" unbalanced="0"/>
    <cacheHierarchy uniqueName="[products_data].[ProductName]" caption="ProductName" attribute="1" defaultMemberUniqueName="[products_data].[ProductName].[All]" allUniqueName="[products_data].[ProductName].[All]" dimensionUniqueName="[products_data]" displayFolder="" count="0" memberValueDatatype="130" unbalanced="0"/>
    <cacheHierarchy uniqueName="[products_data].[Category]" caption="Category" attribute="1" defaultMemberUniqueName="[products_data].[Category].[All]" allUniqueName="[products_data].[Category].[All]" dimensionUniqueName="[products_data]" displayFolder="" count="0" memberValueDatatype="130" unbalanced="0"/>
    <cacheHierarchy uniqueName="[products_data].[ProductCategoryFromName]" caption="ProductCategoryFromName" attribute="1" defaultMemberUniqueName="[products_data].[ProductCategoryFromName].[All]" allUniqueName="[products_data].[ProductCategoryFromName].[All]" dimensionUniqueName="[products_data]" displayFolder="" count="0" memberValueDatatype="130" unbalanced="0"/>
    <cacheHierarchy uniqueName="[products_data].[Category_Validate]" caption="Category_Validate" attribute="1" defaultMemberUniqueName="[products_data].[Category_Validate].[All]" allUniqueName="[products_data].[Category_Validate].[All]" dimensionUniqueName="[products_data]" displayFolder="" count="0" memberValueDatatype="130" unbalanced="0"/>
    <cacheHierarchy uniqueName="[products_data].[UnitPrice]" caption="UnitPrice" attribute="1" defaultMemberUniqueName="[products_data].[UnitPrice].[All]" allUniqueName="[products_data].[UnitPrice].[All]" dimensionUniqueName="[products_data]" displayFolder="" count="0" memberValueDatatype="5" unbalanced="0"/>
    <cacheHierarchy uniqueName="[sales_data].[TransactionID]" caption="TransactionID" attribute="1" defaultMemberUniqueName="[sales_data].[TransactionID].[All]" allUniqueName="[sales_data].[TransactionID].[All]" dimensionUniqueName="[sales_data]" displayFolder="" count="0" memberValueDatatype="20" unbalanced="0"/>
    <cacheHierarchy uniqueName="[sales_data].[SaleDate]" caption="SaleDate" attribute="1" time="1" defaultMemberUniqueName="[sales_data].[SaleDate].[All]" allUniqueName="[sales_data].[SaleDate].[All]" dimensionUniqueName="[sales_data]" displayFolder="" count="0" memberValueDatatype="7" unbalanced="0"/>
    <cacheHierarchy uniqueName="[sales_data].[Year]" caption="Year" attribute="1" defaultMemberUniqueName="[sales_data].[Year].[All]" allUniqueName="[sales_data].[Year].[All]" dimensionUniqueName="[sales_data]" displayFolder="" count="0" memberValueDatatype="20" unbalanced="0"/>
    <cacheHierarchy uniqueName="[sales_data].[Month Name]" caption="Month Name" attribute="1" defaultMemberUniqueName="[sales_data].[Month Name].[All]" allUniqueName="[sales_data].[Month Name].[All]" dimensionUniqueName="[sales_data]" displayFolder="" count="0" memberValueDatatype="130" unbalanced="0"/>
    <cacheHierarchy uniqueName="[sales_data].[Day Name]" caption="Day Name" attribute="1" defaultMemberUniqueName="[sales_data].[Day Name].[All]" allUniqueName="[sales_data].[Day Name].[All]" dimensionUniqueName="[sales_data]" displayFolder="" count="0" memberValueDatatype="130" unbalanced="0"/>
    <cacheHierarchy uniqueName="[sales_data].[Quarter]" caption="Quarter" attribute="1" defaultMemberUniqueName="[sales_data].[Quarter].[All]" allUniqueName="[sales_data].[Quarter].[All]" dimensionUniqueName="[sales_data]" displayFolder="" count="0" memberValueDatatype="20" unbalanced="0"/>
    <cacheHierarchy uniqueName="[sales_data].[CustomerID-validate]" caption="CustomerID-validate" attribute="1" defaultMemberUniqueName="[sales_data].[CustomerID-validate].[All]" allUniqueName="[sales_data].[CustomerID-validate].[All]" dimensionUniqueName="[sales_data]" displayFolder="" count="0" memberValueDatatype="130" unbalanced="0"/>
    <cacheHierarchy uniqueName="[sales_data].[ProductID]" caption="ProductID" attribute="1" defaultMemberUniqueName="[sales_data].[ProductID].[All]" allUniqueName="[sales_data].[ProductID].[All]" dimensionUniqueName="[sales_data]" displayFolder="" count="0" memberValueDatatype="20" unbalanced="0"/>
    <cacheHierarchy uniqueName="[sales_data].[StoreID]" caption="StoreID" attribute="1" defaultMemberUniqueName="[sales_data].[StoreID].[All]" allUniqueName="[sales_data].[StoreID].[All]" dimensionUniqueName="[sales_data]" displayFolder="" count="0" memberValueDatatype="20" unbalanced="0"/>
    <cacheHierarchy uniqueName="[sales_data].[CampaignID]" caption="CampaignID" attribute="1" defaultMemberUniqueName="[sales_data].[CampaignID].[All]" allUniqueName="[sales_data].[CampaignID].[All]" dimensionUniqueName="[sales_data]" displayFolder="" count="0" memberValueDatatype="20" unbalanced="0"/>
    <cacheHierarchy uniqueName="[sales_data].[SaleAmount]" caption="SaleAmount" attribute="1" defaultMemberUniqueName="[sales_data].[SaleAmount].[All]" allUniqueName="[sales_data].[SaleAmount].[All]" dimensionUniqueName="[sales_data]" displayFolder="" count="0" memberValueDatatype="5" unbalanced="0"/>
    <cacheHierarchy uniqueName="[sales_data].[SaleDate (Year)]" caption="SaleDate (Year)" attribute="1" defaultMemberUniqueName="[sales_data].[SaleDate (Year)].[All]" allUniqueName="[sales_data].[SaleDate (Year)].[All]" dimensionUniqueName="[sales_data]" displayFolder="" count="0" memberValueDatatype="130" unbalanced="0"/>
    <cacheHierarchy uniqueName="[sales_data].[SaleDate (Quarter)]" caption="SaleDate (Quarter)" attribute="1" defaultMemberUniqueName="[sales_data].[SaleDate (Quarter)].[All]" allUniqueName="[sales_data].[SaleDate (Quarter)].[All]" dimensionUniqueName="[sales_data]" displayFolder="" count="0" memberValueDatatype="130" unbalanced="0"/>
    <cacheHierarchy uniqueName="[sales_data].[SaleDate (Month)]" caption="SaleDate (Month)" attribute="1" defaultMemberUniqueName="[sales_data].[SaleDate (Month)].[All]" allUniqueName="[sales_data].[SaleDate (Month)].[All]" dimensionUniqueName="[sales_data]" displayFolder="" count="0" memberValueDatatype="130" unbalanced="0"/>
    <cacheHierarchy uniqueName="[customers_data].[JoinDate (Month Index)]" caption="JoinDate (Month Index)" attribute="1" defaultMemberUniqueName="[customers_data].[JoinDate (Month Index)].[All]" allUniqueName="[customers_data].[JoinDate (Month Index)].[All]" dimensionUniqueName="[customers_data]" displayFolder="" count="0" memberValueDatatype="20" unbalanced="0" hidden="1"/>
    <cacheHierarchy uniqueName="[sales_data].[SaleDate (Month Index)]" caption="SaleDate (Month Index)" attribute="1" defaultMemberUniqueName="[sales_data].[SaleDate (Month Index)].[All]" allUniqueName="[sales_data].[SaleDate (Month Index)].[All]" dimensionUniqueName="[sales_data]" displayFolder="" count="0" memberValueDatatype="20" unbalanced="0" hidden="1"/>
    <cacheHierarchy uniqueName="[Measures].[Count of Join Month Name]" caption="Count of Join Month Name" measure="1" displayFolder="" measureGroup="customers_data" count="0">
      <extLst>
        <ext xmlns:x15="http://schemas.microsoft.com/office/spreadsheetml/2010/11/main" uri="{B97F6D7D-B522-45F9-BDA1-12C45D357490}">
          <x15:cacheHierarchy aggregatedColumn="5"/>
        </ext>
      </extLst>
    </cacheHierarchy>
    <cacheHierarchy uniqueName="[Measures].[Count of Region_Up]" caption="Count of Region_Up" measure="1" displayFolder="" measureGroup="customers_data" count="0">
      <extLst>
        <ext xmlns:x15="http://schemas.microsoft.com/office/spreadsheetml/2010/11/main" uri="{B97F6D7D-B522-45F9-BDA1-12C45D357490}">
          <x15:cacheHierarchy aggregatedColumn="2"/>
        </ext>
      </extLst>
    </cacheHierarchy>
    <cacheHierarchy uniqueName="[Measures].[Count of Day Name]" caption="Count of Day Name" measure="1" displayFolder="" measureGroup="customers_data" count="0">
      <extLst>
        <ext xmlns:x15="http://schemas.microsoft.com/office/spreadsheetml/2010/11/main" uri="{B97F6D7D-B522-45F9-BDA1-12C45D357490}">
          <x15:cacheHierarchy aggregatedColumn="7"/>
        </ext>
      </extLst>
    </cacheHierarchy>
    <cacheHierarchy uniqueName="[Measures].[Sum of CustomerID]" caption="Sum of CustomerID" measure="1" displayFolder="" measureGroup="customers_data" count="0">
      <extLst>
        <ext xmlns:x15="http://schemas.microsoft.com/office/spreadsheetml/2010/11/main" uri="{B97F6D7D-B522-45F9-BDA1-12C45D357490}">
          <x15:cacheHierarchy aggregatedColumn="1"/>
        </ext>
      </extLst>
    </cacheHierarchy>
    <cacheHierarchy uniqueName="[Measures].[Sum of ProductID]" caption="Sum of ProductID" measure="1" displayFolder="" measureGroup="products_data" count="0">
      <extLst>
        <ext xmlns:x15="http://schemas.microsoft.com/office/spreadsheetml/2010/11/main" uri="{B97F6D7D-B522-45F9-BDA1-12C45D357490}">
          <x15:cacheHierarchy aggregatedColumn="11"/>
        </ext>
      </extLst>
    </cacheHierarchy>
    <cacheHierarchy uniqueName="[Measures].[Sum of UnitPrice 2]" caption="Sum of UnitPrice 2" measure="1" displayFolder="" measureGroup="products_data" count="0">
      <extLst>
        <ext xmlns:x15="http://schemas.microsoft.com/office/spreadsheetml/2010/11/main" uri="{B97F6D7D-B522-45F9-BDA1-12C45D357490}">
          <x15:cacheHierarchy aggregatedColumn="16"/>
        </ext>
      </extLst>
    </cacheHierarchy>
    <cacheHierarchy uniqueName="[Measures].[Sum of SaleAmount 2]" caption="Sum of SaleAmount 2" measure="1" displayFolder="" measureGroup="sales_data" count="0">
      <extLst>
        <ext xmlns:x15="http://schemas.microsoft.com/office/spreadsheetml/2010/11/main" uri="{B97F6D7D-B522-45F9-BDA1-12C45D357490}">
          <x15:cacheHierarchy aggregatedColumn="27"/>
        </ext>
      </extLst>
    </cacheHierarchy>
    <cacheHierarchy uniqueName="[Measures].[Count of SaleAmount]" caption="Count of SaleAmount" measure="1" displayFolder="" measureGroup="sales_data" count="0">
      <extLst>
        <ext xmlns:x15="http://schemas.microsoft.com/office/spreadsheetml/2010/11/main" uri="{B97F6D7D-B522-45F9-BDA1-12C45D357490}">
          <x15:cacheHierarchy aggregatedColumn="27"/>
        </ext>
      </extLst>
    </cacheHierarchy>
    <cacheHierarchy uniqueName="[Measures].[Count of UnitPrice]" caption="Count of UnitPrice" measure="1" displayFolder="" measureGroup="products_data" count="0">
      <extLst>
        <ext xmlns:x15="http://schemas.microsoft.com/office/spreadsheetml/2010/11/main" uri="{B97F6D7D-B522-45F9-BDA1-12C45D357490}">
          <x15:cacheHierarchy aggregatedColumn="16"/>
        </ext>
      </extLst>
    </cacheHierarchy>
    <cacheHierarchy uniqueName="[Measures].[Average of UnitPrice]" caption="Average of UnitPrice" measure="1" displayFolder="" measureGroup="products_data" count="0">
      <extLst>
        <ext xmlns:x15="http://schemas.microsoft.com/office/spreadsheetml/2010/11/main" uri="{B97F6D7D-B522-45F9-BDA1-12C45D357490}">
          <x15:cacheHierarchy aggregatedColumn="16"/>
        </ext>
      </extLst>
    </cacheHierarchy>
    <cacheHierarchy uniqueName="[Measures].[Count of SaleDate (Year)]" caption="Count of SaleDate (Year)" measure="1" displayFolder="" measureGroup="sales_data" count="0">
      <extLst>
        <ext xmlns:x15="http://schemas.microsoft.com/office/spreadsheetml/2010/11/main" uri="{B97F6D7D-B522-45F9-BDA1-12C45D357490}">
          <x15:cacheHierarchy aggregatedColumn="28"/>
        </ext>
      </extLst>
    </cacheHierarchy>
    <cacheHierarchy uniqueName="[Measures].[Sum of TransactionID]" caption="Sum of TransactionID" measure="1" displayFolder="" measureGroup="sales_data" count="0">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customers_data" count="0">
      <extLst>
        <ext xmlns:x15="http://schemas.microsoft.com/office/spreadsheetml/2010/11/main" uri="{B97F6D7D-B522-45F9-BDA1-12C45D357490}">
          <x15:cacheHierarchy aggregatedColumn="1"/>
        </ext>
      </extLst>
    </cacheHierarchy>
    <cacheHierarchy uniqueName="[Measures].[Count of Category]" caption="Count of Category" measure="1" displayFolder="" measureGroup="products_data" count="0">
      <extLst>
        <ext xmlns:x15="http://schemas.microsoft.com/office/spreadsheetml/2010/11/main" uri="{B97F6D7D-B522-45F9-BDA1-12C45D357490}">
          <x15:cacheHierarchy aggregatedColumn="13"/>
        </ext>
      </extLst>
    </cacheHierarchy>
    <cacheHierarchy uniqueName="[Measures].[Average of TransactionID]" caption="Average of TransactionID" measure="1" displayFolder="" measureGroup="sales_data" count="0">
      <extLst>
        <ext xmlns:x15="http://schemas.microsoft.com/office/spreadsheetml/2010/11/main" uri="{B97F6D7D-B522-45F9-BDA1-12C45D357490}">
          <x15:cacheHierarchy aggregatedColumn="17"/>
        </ext>
      </extLst>
    </cacheHierarchy>
    <cacheHierarchy uniqueName="[Measures].[Sum of CampaignID]" caption="Sum of CampaignID" measure="1" displayFolder="" measureGroup="sales_data" count="0">
      <extLst>
        <ext xmlns:x15="http://schemas.microsoft.com/office/spreadsheetml/2010/11/main" uri="{B97F6D7D-B522-45F9-BDA1-12C45D357490}">
          <x15:cacheHierarchy aggregatedColumn="26"/>
        </ext>
      </extLst>
    </cacheHierarchy>
    <cacheHierarchy uniqueName="[Measures].[Sum of StoreID]" caption="Sum of StoreID" measure="1" displayFolder="" measureGroup="sales_data" count="0">
      <extLst>
        <ext xmlns:x15="http://schemas.microsoft.com/office/spreadsheetml/2010/11/main" uri="{B97F6D7D-B522-45F9-BDA1-12C45D357490}">
          <x15:cacheHierarchy aggregatedColumn="25"/>
        </ext>
      </extLst>
    </cacheHierarchy>
    <cacheHierarchy uniqueName="[Measures].[Count of ProductName]" caption="Count of ProductName" measure="1" displayFolder="" measureGroup="products_data" count="0">
      <extLst>
        <ext xmlns:x15="http://schemas.microsoft.com/office/spreadsheetml/2010/11/main" uri="{B97F6D7D-B522-45F9-BDA1-12C45D357490}">
          <x15:cacheHierarchy aggregatedColumn="12"/>
        </ext>
      </extLst>
    </cacheHierarchy>
    <cacheHierarchy uniqueName="[Measures].[Count of Name]" caption="Count of Name" measure="1" displayFolder="" measureGroup="customers_data" count="0">
      <extLst>
        <ext xmlns:x15="http://schemas.microsoft.com/office/spreadsheetml/2010/11/main" uri="{B97F6D7D-B522-45F9-BDA1-12C45D357490}">
          <x15:cacheHierarchy aggregatedColumn="0"/>
        </ext>
      </extLst>
    </cacheHierarchy>
    <cacheHierarchy uniqueName="[Measures].[Sum of Quarter]" caption="Sum of Quarter" measure="1" displayFolder="" measureGroup="sales_data" count="0">
      <extLst>
        <ext xmlns:x15="http://schemas.microsoft.com/office/spreadsheetml/2010/11/main" uri="{B97F6D7D-B522-45F9-BDA1-12C45D357490}">
          <x15:cacheHierarchy aggregatedColumn="22"/>
        </ext>
      </extLst>
    </cacheHierarchy>
    <cacheHierarchy uniqueName="[Measures].[Sum of Quarter Join]" caption="Sum of Quarter Join" measure="1" displayFolder="" measureGroup="customers_data" count="0">
      <extLst>
        <ext xmlns:x15="http://schemas.microsoft.com/office/spreadsheetml/2010/11/main" uri="{B97F6D7D-B522-45F9-BDA1-12C45D357490}">
          <x15:cacheHierarchy aggregatedColumn="6"/>
        </ext>
      </extLst>
    </cacheHierarchy>
    <cacheHierarchy uniqueName="[Measures].[Total Sales]" caption="Total Sales" measure="1" displayFolder="" measureGroup="sales_data" count="0"/>
    <cacheHierarchy uniqueName="[Measures].[Total UnitPrice]" caption="Total UnitPrice" measure="1" displayFolder="" measureGroup="products_data" count="0"/>
    <cacheHierarchy uniqueName="[Measures].[Total Transaction]" caption="Total Transaction" measure="1" displayFolder="" measureGroup="sales_data" count="0"/>
    <cacheHierarchy uniqueName="[Measures].[Total Customer]" caption="Total Customer" measure="1" displayFolder="" measureGroup="customers_data" count="0"/>
    <cacheHierarchy uniqueName="[Measures].[__XL_Count customers_data]" caption="__XL_Count customers_data" measure="1" displayFolder="" measureGroup="customers_data" count="0" hidden="1"/>
    <cacheHierarchy uniqueName="[Measures].[__XL_Count products_data]" caption="__XL_Count products_data" measure="1" displayFolder="" measureGroup="products_data"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260594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628B56-BBFC-4E13-A1C5-4B4BF834EBD6}" name="PivotChartTable3" cacheId="17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A1:B6" firstHeaderRow="1" firstDataRow="1" firstDataCol="1"/>
  <pivotFields count="5">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i>
    <i>
      <x v="1"/>
    </i>
    <i>
      <x v="2"/>
    </i>
    <i t="grand">
      <x/>
    </i>
  </rowItems>
  <colItems count="1">
    <i/>
  </colItems>
  <dataFields count="1">
    <dataField fld="0" subtotal="count" baseField="0" baseItem="0"/>
  </dataFields>
  <chartFormats count="5">
    <chartFormat chart="0"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 chart="3" format="45" series="1">
      <pivotArea type="data" outline="0" fieldPosition="0">
        <references count="1">
          <reference field="4294967294" count="1" selected="0">
            <x v="0"/>
          </reference>
        </references>
      </pivotArea>
    </chartFormat>
    <chartFormat chart="5" format="46" series="1">
      <pivotArea type="data" outline="0" fieldPosition="0">
        <references count="1">
          <reference field="4294967294" count="1" selected="0">
            <x v="0"/>
          </reference>
        </references>
      </pivotArea>
    </chartFormat>
    <chartFormat chart="6" format="47"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2015850236">
        <x15:pivotRow count="1">
          <x15:c>
            <x15:v>636110.26</x15:v>
            <x15:x in="0"/>
          </x15:c>
        </x15:pivotRow>
        <x15:pivotRow count="1">
          <x15:c>
            <x15:v>549718.22</x15:v>
            <x15:x in="0"/>
          </x15:c>
        </x15:pivotRow>
        <x15:pivotRow count="1">
          <x15:c>
            <x15:v>432194.05</x15:v>
            <x15:x in="0"/>
          </x15:c>
        </x15:pivotRow>
        <x15:pivotRow count="1">
          <x15:c>
            <x15:v>408734.45</x15:v>
            <x15:x in="0"/>
          </x15:c>
        </x15:pivotRow>
        <x15:pivotRow count="1">
          <x15:c>
            <x15:v>2026756.98</x15:v>
            <x15:x in="0"/>
          </x15:c>
        </x15:pivotRow>
      </x15:pivotTableData>
    </ext>
    <ext xmlns:x15="http://schemas.microsoft.com/office/spreadsheetml/2010/11/main" uri="{E67621CE-5B39-4880-91FE-76760E9C1902}">
      <x15:pivotTableUISettings>
        <x15:activeTabTopLevelEntity name="[products_data]"/>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628B56-BBFC-4E13-A1C5-4B4BF834EBD6}" name="PivotChartTable7" cacheId="16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A1:B6"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v="1"/>
    </i>
    <i>
      <x/>
    </i>
    <i>
      <x v="3"/>
    </i>
    <i t="grand">
      <x/>
    </i>
  </rowItems>
  <colItems count="1">
    <i/>
  </colItems>
  <dataFields count="1">
    <dataField fld="0" subtotal="count" baseField="0" baseItem="0"/>
  </dataFields>
  <chartFormats count="3">
    <chartFormat chart="0"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 chart="3" format="51"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2002851852">
        <x15:pivotRow count="1">
          <x15:c>
            <x15:v>581360.57999999996</x15:v>
            <x15:x in="0"/>
          </x15:c>
        </x15:pivotRow>
        <x15:pivotRow count="1">
          <x15:c>
            <x15:v>504216.25</x15:v>
            <x15:x in="0"/>
          </x15:c>
        </x15:pivotRow>
        <x15:pivotRow count="1">
          <x15:c>
            <x15:v>480925.54</x15:v>
            <x15:x in="0"/>
          </x15:c>
        </x15:pivotRow>
        <x15:pivotRow count="1">
          <x15:c>
            <x15:v>460254.61</x15:v>
            <x15:x in="0"/>
          </x15:c>
        </x15:pivotRow>
        <x15:pivotRow count="1">
          <x15:c>
            <x15:v>2026756.98</x15:v>
            <x15:x in="0"/>
          </x15:c>
        </x15:pivotRow>
      </x15:pivotTableData>
    </ext>
    <ext xmlns:x15="http://schemas.microsoft.com/office/spreadsheetml/2010/11/main" uri="{E67621CE-5B39-4880-91FE-76760E9C1902}">
      <x15:pivotTableUISettings>
        <x15:activeTabTopLevelEntity name="[products_data]"/>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628B56-BBFC-4E13-A1C5-4B4BF834EBD6}" name="PivotChartTable1" cacheId="17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8">
  <location ref="A1:B6" firstHeaderRow="1" firstDataRow="1" firstDataCol="1"/>
  <pivotFields count="5">
    <pivotField dataField="1" subtotalTop="0" showAll="0" defaultSubtotal="0"/>
    <pivotField allDrilled="1" subtotalTop="0" showAll="0" measureFilter="1" dataSourceSort="1" defaultSubtotal="0" defaultAttributeDrillState="1">
      <items count="6">
        <item x="0"/>
        <item x="1"/>
        <item x="2"/>
        <item x="3"/>
        <item x="4"/>
        <item x="5"/>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v="1"/>
    </i>
    <i>
      <x v="2"/>
    </i>
    <i>
      <x/>
    </i>
    <i t="grand">
      <x/>
    </i>
  </rowItems>
  <colItems count="1">
    <i/>
  </colItems>
  <dataFields count="1">
    <dataField fld="0" subtotal="count" baseField="0" baseItem="0"/>
  </dataFields>
  <chartFormats count="7">
    <chartFormat chart="0"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 chart="3" format="42" series="1">
      <pivotArea type="data" outline="0" fieldPosition="0">
        <references count="1">
          <reference field="4294967294" count="1" selected="0">
            <x v="0"/>
          </reference>
        </references>
      </pivotArea>
    </chartFormat>
    <chartFormat chart="4" format="43" series="1">
      <pivotArea type="data" outline="0" fieldPosition="0">
        <references count="1">
          <reference field="4294967294" count="1" selected="0">
            <x v="0"/>
          </reference>
        </references>
      </pivotArea>
    </chartFormat>
    <chartFormat chart="5" format="44" series="1">
      <pivotArea type="data" outline="0" fieldPosition="0">
        <references count="1">
          <reference field="4294967294" count="1" selected="0">
            <x v="0"/>
          </reference>
        </references>
      </pivotArea>
    </chartFormat>
    <chartFormat chart="6" format="45" series="1">
      <pivotArea type="data" outline="0" fieldPosition="0">
        <references count="1">
          <reference field="4294967294" count="1" selected="0">
            <x v="0"/>
          </reference>
        </references>
      </pivotArea>
    </chartFormat>
    <chartFormat chart="7" format="46"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7" iMeasureHier="54">
      <autoFilter ref="A1">
        <filterColumn colId="0">
          <top10 val="6" filterVal="6"/>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1978049541">
        <x15:pivotRow count="1">
          <x15:c>
            <x15:v>553465.42000000004</x15:v>
            <x15:x in="0"/>
          </x15:c>
        </x15:pivotRow>
        <x15:pivotRow count="1">
          <x15:c>
            <x15:v>498619.84</x15:v>
            <x15:x in="0"/>
          </x15:c>
        </x15:pivotRow>
        <x15:pivotRow count="1">
          <x15:c>
            <x15:v>490728.85</x15:v>
            <x15:x in="0"/>
          </x15:c>
        </x15:pivotRow>
        <x15:pivotRow count="1">
          <x15:c>
            <x15:v>483942.87</x15:v>
            <x15:x in="0"/>
          </x15:c>
        </x15:pivotRow>
        <x15:pivotRow count="1">
          <x15:c>
            <x15:v>2026756.98</x15:v>
            <x15:x in="0"/>
          </x15:c>
        </x15:pivotRow>
      </x15:pivotTableData>
    </ext>
    <ext xmlns:x15="http://schemas.microsoft.com/office/spreadsheetml/2010/11/main" uri="{E67621CE-5B39-4880-91FE-76760E9C1902}">
      <x15:pivotTableUISettings>
        <x15:activeTabTopLevelEntity name="[products_data]"/>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628B56-BBFC-4E13-A1C5-4B4BF834EBD6}" name="PivotChartTable8" cacheId="17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A1:B8" firstHeaderRow="1" firstDataRow="1" firstDataCol="1"/>
  <pivotFields count="5">
    <pivotField dataField="1" subtotalTop="0" showAll="0" defaultSubtotal="0"/>
    <pivotField axis="axisRow" allDrilled="1" subtotalTop="0" showAll="0" measureFilter="1"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v="2"/>
    </i>
    <i>
      <x/>
    </i>
    <i>
      <x v="1"/>
    </i>
    <i>
      <x v="5"/>
    </i>
    <i>
      <x v="4"/>
    </i>
    <i>
      <x v="3"/>
    </i>
    <i t="grand">
      <x/>
    </i>
  </rowItems>
  <colItems count="1">
    <i/>
  </colItems>
  <dataFields count="1">
    <dataField fld="0" subtotal="count" baseField="0" baseItem="0"/>
  </dataFields>
  <chartFormats count="6">
    <chartFormat chart="0"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 chart="3" format="42" series="1">
      <pivotArea type="data" outline="0" fieldPosition="0">
        <references count="1">
          <reference field="4294967294" count="1" selected="0">
            <x v="0"/>
          </reference>
        </references>
      </pivotArea>
    </chartFormat>
    <chartFormat chart="4" format="43" series="1">
      <pivotArea type="data" outline="0" fieldPosition="0">
        <references count="1">
          <reference field="4294967294" count="1" selected="0">
            <x v="0"/>
          </reference>
        </references>
      </pivotArea>
    </chartFormat>
    <chartFormat chart="5" format="44" series="1">
      <pivotArea type="data" outline="0" fieldPosition="0">
        <references count="1">
          <reference field="4294967294" count="1" selected="0">
            <x v="0"/>
          </reference>
        </references>
      </pivotArea>
    </chartFormat>
    <chartFormat chart="6" format="46"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1" type="count" id="7" iMeasureHier="54">
      <autoFilter ref="A1">
        <filterColumn colId="0">
          <top10 val="6" filterVal="6"/>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7" columnCount="1" cacheId="1619751154">
        <x15:pivotRow count="1">
          <x15:c>
            <x15:v>45330.87</x15:v>
            <x15:x in="0"/>
          </x15:c>
        </x15:pivotRow>
        <x15:pivotRow count="1">
          <x15:c>
            <x15:v>45508.6</x15:v>
            <x15:x in="0"/>
          </x15:c>
        </x15:pivotRow>
        <x15:pivotRow count="1">
          <x15:c>
            <x15:v>45511.32</x15:v>
            <x15:x in="0"/>
          </x15:c>
        </x15:pivotRow>
        <x15:pivotRow count="1">
          <x15:c>
            <x15:v>45625.94</x15:v>
            <x15:x in="0"/>
          </x15:c>
        </x15:pivotRow>
        <x15:pivotRow count="1">
          <x15:c>
            <x15:v>48827.08</x15:v>
            <x15:x in="0"/>
          </x15:c>
        </x15:pivotRow>
        <x15:pivotRow count="1">
          <x15:c>
            <x15:v>57842.080000000002</x15:v>
            <x15:x in="0"/>
          </x15:c>
        </x15:pivotRow>
        <x15:pivotRow count="1">
          <x15:c>
            <x15:v>288645.89</x15:v>
            <x15:x in="0"/>
          </x15:c>
        </x15:pivotRow>
      </x15:pivotTableData>
    </ext>
    <ext xmlns:x15="http://schemas.microsoft.com/office/spreadsheetml/2010/11/main" uri="{E67621CE-5B39-4880-91FE-76760E9C1902}">
      <x15:pivotTableUISettings>
        <x15:activeTabTopLevelEntity name="[products_data]"/>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DBA608-6575-4C27-B5DC-F9AAA5BEBF04}" name="PivotChartTable12" cacheId="16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1:B9" firstHeaderRow="1" firstDataRow="1" firstDataCol="1"/>
  <pivotFields count="4">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5"/>
    </i>
    <i>
      <x v="1"/>
    </i>
    <i>
      <x v="2"/>
    </i>
    <i>
      <x/>
    </i>
    <i>
      <x v="6"/>
    </i>
    <i>
      <x v="3"/>
    </i>
    <i>
      <x v="4"/>
    </i>
    <i t="grand">
      <x/>
    </i>
  </rowItems>
  <colItems count="1">
    <i/>
  </colItems>
  <dataFields count="1">
    <dataField fld="1" subtotal="count" baseField="0" baseItem="0"/>
  </dataFields>
  <chartFormats count="3">
    <chartFormat chart="3"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UnitPrice"/>
    <pivotHierarchy dragToData="1"/>
    <pivotHierarchy dragToData="1" caption="Count of SaleAmount"/>
    <pivotHierarchy dragToData="1" caption="Count of UnitPrice"/>
    <pivotHierarchy dragToData="1" caption="Average of UnitPri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2" iMeasureHier="56">
      <autoFilter ref="A1">
        <filterColumn colId="0">
          <top10 val="7" filterVal="7"/>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75744092">
        <x15:pivotRow count="1">
          <x15:c>
            <x15:v>17</x15:v>
          </x15:c>
        </x15:pivotRow>
        <x15:pivotRow count="1">
          <x15:c>
            <x15:v>17</x15:v>
          </x15:c>
        </x15:pivotRow>
        <x15:pivotRow count="1">
          <x15:c>
            <x15:v>18</x15:v>
          </x15:c>
        </x15:pivotRow>
        <x15:pivotRow count="1">
          <x15:c>
            <x15:v>18</x15:v>
          </x15:c>
        </x15:pivotRow>
        <x15:pivotRow count="1">
          <x15:c>
            <x15:v>19</x15:v>
          </x15:c>
        </x15:pivotRow>
        <x15:pivotRow count="1">
          <x15:c>
            <x15:v>21</x15:v>
          </x15:c>
        </x15:pivotRow>
        <x15:pivotRow count="1">
          <x15:c>
            <x15:v>22</x15:v>
          </x15:c>
        </x15:pivotRow>
        <x15:pivotRow count="1">
          <x15:c>
            <x15:v>132</x15:v>
          </x15:c>
        </x15:pivotRow>
      </x15:pivotTableData>
    </ext>
    <ext xmlns:x15="http://schemas.microsoft.com/office/spreadsheetml/2010/11/main" uri="{E67621CE-5B39-4880-91FE-76760E9C1902}">
      <x15:pivotTableUISettings>
        <x15:activeTabTopLevelEntity name="[products_data]"/>
        <x15:activeTabTopLevelEntity name="[customer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628B56-BBFC-4E13-A1C5-4B4BF834EBD6}" name="PivotChartTable13" cacheId="16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A1:B12" firstHeaderRow="1" firstDataRow="1" firstDataCol="1"/>
  <pivotFields count="4">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7"/>
    </i>
    <i>
      <x v="2"/>
    </i>
    <i>
      <x v="3"/>
    </i>
    <i>
      <x v="4"/>
    </i>
    <i>
      <x v="5"/>
    </i>
    <i>
      <x/>
    </i>
    <i>
      <x v="1"/>
    </i>
    <i>
      <x v="8"/>
    </i>
    <i>
      <x v="9"/>
    </i>
    <i>
      <x v="6"/>
    </i>
    <i t="grand">
      <x/>
    </i>
  </rowItems>
  <colItems count="1">
    <i/>
  </colItems>
  <dataFields count="1">
    <dataField fld="0" subtotal="count" baseField="0" baseItem="0"/>
  </dataFields>
  <chartFormats count="15">
    <chartFormat chart="0" format="40" series="1">
      <pivotArea type="data" outline="0" fieldPosition="0">
        <references count="1">
          <reference field="4294967294" count="1" selected="0">
            <x v="0"/>
          </reference>
        </references>
      </pivotArea>
    </chartFormat>
    <chartFormat chart="2" format="41" series="1">
      <pivotArea type="data" outline="0" fieldPosition="0">
        <references count="1">
          <reference field="4294967294" count="1" selected="0">
            <x v="0"/>
          </reference>
        </references>
      </pivotArea>
    </chartFormat>
    <chartFormat chart="7" format="50" series="1">
      <pivotArea type="data" outline="0" fieldPosition="0">
        <references count="1">
          <reference field="4294967294" count="1" selected="0">
            <x v="0"/>
          </reference>
        </references>
      </pivotArea>
    </chartFormat>
    <chartFormat chart="3" format="51" series="1">
      <pivotArea type="data" outline="0" fieldPosition="0">
        <references count="1">
          <reference field="4294967294" count="1" selected="0">
            <x v="0"/>
          </reference>
        </references>
      </pivotArea>
    </chartFormat>
    <chartFormat chart="8" format="52" series="1">
      <pivotArea type="data" outline="0" fieldPosition="0">
        <references count="1">
          <reference field="4294967294" count="1" selected="0">
            <x v="0"/>
          </reference>
        </references>
      </pivotArea>
    </chartFormat>
    <chartFormat chart="9" format="53" series="1">
      <pivotArea type="data" outline="0" fieldPosition="0">
        <references count="1">
          <reference field="4294967294" count="1" selected="0">
            <x v="0"/>
          </reference>
        </references>
      </pivotArea>
    </chartFormat>
    <chartFormat chart="9" format="54">
      <pivotArea type="data" outline="0" fieldPosition="0">
        <references count="2">
          <reference field="4294967294" count="1" selected="0">
            <x v="0"/>
          </reference>
          <reference field="2" count="1" selected="0">
            <x v="2"/>
          </reference>
        </references>
      </pivotArea>
    </chartFormat>
    <chartFormat chart="10" format="55" series="1">
      <pivotArea type="data" outline="0" fieldPosition="0">
        <references count="1">
          <reference field="4294967294" count="1" selected="0">
            <x v="0"/>
          </reference>
        </references>
      </pivotArea>
    </chartFormat>
    <chartFormat chart="10" format="56">
      <pivotArea type="data" outline="0" fieldPosition="0">
        <references count="2">
          <reference field="4294967294" count="1" selected="0">
            <x v="0"/>
          </reference>
          <reference field="2" count="1" selected="0">
            <x v="2"/>
          </reference>
        </references>
      </pivotArea>
    </chartFormat>
    <chartFormat chart="11" format="57" series="1">
      <pivotArea type="data" outline="0" fieldPosition="0">
        <references count="1">
          <reference field="4294967294" count="1" selected="0">
            <x v="0"/>
          </reference>
        </references>
      </pivotArea>
    </chartFormat>
    <chartFormat chart="11" format="58">
      <pivotArea type="data" outline="0" fieldPosition="0">
        <references count="2">
          <reference field="4294967294" count="1" selected="0">
            <x v="0"/>
          </reference>
          <reference field="2" count="1" selected="0">
            <x v="2"/>
          </reference>
        </references>
      </pivotArea>
    </chartFormat>
    <chartFormat chart="12" format="59" series="1">
      <pivotArea type="data" outline="0" fieldPosition="0">
        <references count="1">
          <reference field="4294967294" count="1" selected="0">
            <x v="0"/>
          </reference>
        </references>
      </pivotArea>
    </chartFormat>
    <chartFormat chart="12" format="60">
      <pivotArea type="data" outline="0" fieldPosition="0">
        <references count="2">
          <reference field="4294967294" count="1" selected="0">
            <x v="0"/>
          </reference>
          <reference field="2" count="1" selected="0">
            <x v="2"/>
          </reference>
        </references>
      </pivotArea>
    </chartFormat>
    <chartFormat chart="13" format="61" series="1">
      <pivotArea type="data" outline="0" fieldPosition="0">
        <references count="1">
          <reference field="4294967294" count="1" selected="0">
            <x v="0"/>
          </reference>
        </references>
      </pivotArea>
    </chartFormat>
    <chartFormat chart="13" format="62">
      <pivotArea type="data" outline="0" fieldPosition="0">
        <references count="2">
          <reference field="4294967294" count="1" selected="0">
            <x v="0"/>
          </reference>
          <reference field="2"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2" type="count" id="1" iMeasureHier="5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11" columnCount="1" cacheId="1827001043">
        <x15:pivotRow count="1">
          <x15:c>
            <x15:v>144646.21</x15:v>
            <x15:x in="0"/>
          </x15:c>
        </x15:pivotRow>
        <x15:pivotRow count="1">
          <x15:c>
            <x15:v>150421.44</x15:v>
            <x15:x in="0"/>
          </x15:c>
        </x15:pivotRow>
        <x15:pivotRow count="1">
          <x15:c>
            <x15:v>163730.78</x15:v>
            <x15:x in="0"/>
          </x15:c>
        </x15:pivotRow>
        <x15:pivotRow count="1">
          <x15:c>
            <x15:v>167217.63</x15:v>
            <x15:x in="0"/>
          </x15:c>
        </x15:pivotRow>
        <x15:pivotRow count="1">
          <x15:c>
            <x15:v>167277.81</x15:v>
            <x15:x in="0"/>
          </x15:c>
        </x15:pivotRow>
        <x15:pivotRow count="1">
          <x15:c>
            <x15:v>175538.24</x15:v>
            <x15:x in="0"/>
          </x15:c>
        </x15:pivotRow>
        <x15:pivotRow count="1">
          <x15:c>
            <x15:v>198175.09</x15:v>
            <x15:x in="0"/>
          </x15:c>
        </x15:pivotRow>
        <x15:pivotRow count="1">
          <x15:c>
            <x15:v>202212.41</x15:v>
            <x15:x in="0"/>
          </x15:c>
        </x15:pivotRow>
        <x15:pivotRow count="1">
          <x15:c>
            <x15:v>220893.02</x15:v>
            <x15:x in="0"/>
          </x15:c>
        </x15:pivotRow>
        <x15:pivotRow count="1">
          <x15:c>
            <x15:v>236655.35999999999</x15:v>
            <x15:x in="0"/>
          </x15:c>
        </x15:pivotRow>
        <x15:pivotRow count="1">
          <x15:c>
            <x15:v>1826767.99</x15:v>
            <x15:x in="0"/>
          </x15:c>
        </x15:pivotRow>
      </x15:pivotTableData>
    </ext>
    <ext xmlns:x15="http://schemas.microsoft.com/office/spreadsheetml/2010/11/main" uri="{E67621CE-5B39-4880-91FE-76760E9C1902}">
      <x15:pivotTableUISettings>
        <x15:activeTabTopLevelEntity name="[products_data]"/>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427389-18C4-44EE-BDA1-2462BB945827}" name="PivotTable7" cacheId="153" applyNumberFormats="0" applyBorderFormats="0" applyFontFormats="0" applyPatternFormats="0" applyAlignmentFormats="0" applyWidthHeightFormats="1" dataCaption="Values" tag="78a3bf95-0f26-4f0e-a3a1-857c1a0876cd" updatedVersion="7" minRefreshableVersion="3" useAutoFormatting="1" subtotalHiddenItems="1" itemPrintTitles="1" createdVersion="7" indent="0" outline="1" outlineData="1" multipleFieldFilters="0" rowHeaderCaption="Unit Price">
  <location ref="E3:F14" firstHeaderRow="1" firstDataRow="1" firstDataCol="1"/>
  <pivotFields count="3">
    <pivotField axis="axisRow" allDrilled="1" subtotalTop="0" showAll="0" measureFilter="1" defaultSubtotal="0" defaultAttributeDrillState="1">
      <items count="10">
        <item x="5"/>
        <item x="0"/>
        <item x="1"/>
        <item x="2"/>
        <item x="3"/>
        <item x="4"/>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Revenue" fld="1" subtotal="count" baseField="0" baseItem="0"/>
  </dataFields>
  <formats count="5">
    <format dxfId="80">
      <pivotArea field="0" type="button" dataOnly="0" labelOnly="1" outline="0" axis="axisRow" fieldPosition="0"/>
    </format>
    <format dxfId="79">
      <pivotArea dataOnly="0" labelOnly="1" fieldPosition="0">
        <references count="1">
          <reference field="0" count="0"/>
        </references>
      </pivotArea>
    </format>
    <format dxfId="78">
      <pivotArea dataOnly="0" labelOnly="1" grandRow="1" outline="0" fieldPosition="0"/>
    </format>
    <format dxfId="77">
      <pivotArea dataOnly="0" labelOnly="1" grandRow="1" outline="0" fieldPosition="0"/>
    </format>
    <format dxfId="76">
      <pivotArea dataOnly="0" labelOnly="1" grandRow="1" outline="0"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sales_data]"/>
        <x15:activeTabTopLevelEntity name="[product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4CC048-A728-4A37-BC63-BAD29382568C}" name="PivotTable1" cacheId="181" applyNumberFormats="0" applyBorderFormats="0" applyFontFormats="0" applyPatternFormats="0" applyAlignmentFormats="0" applyWidthHeightFormats="1" dataCaption="Values" tag="9ea8c546-afe3-4142-8d39-0e2ad2f51dfa" updatedVersion="7" minRefreshableVersion="3" useAutoFormatting="1" subtotalHiddenItems="1" itemPrintTitles="1" createdVersion="7" indent="0" outline="1" outlineData="1" multipleFieldFilters="0" rowHeaderCaption="Month">
  <location ref="A3:C43" firstHeaderRow="0" firstDataRow="1" firstDataCol="1"/>
  <pivotFields count="5">
    <pivotField axis="axisRow" allDrilled="1" subtotalTop="0" showAll="0" measureFilter="1" sortType="ascending" defaultSubtotal="0" defaultAttributeDrillState="1">
      <items count="5">
        <item x="0"/>
        <item x="2"/>
        <item x="1"/>
        <item x="4"/>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40">
    <i>
      <x/>
    </i>
    <i r="1">
      <x/>
    </i>
    <i r="1">
      <x v="1"/>
    </i>
    <i r="1">
      <x v="2"/>
    </i>
    <i r="1">
      <x v="3"/>
    </i>
    <i r="1">
      <x v="4"/>
    </i>
    <i r="1">
      <x v="5"/>
    </i>
    <i r="1">
      <x v="6"/>
    </i>
    <i>
      <x v="1"/>
    </i>
    <i r="1">
      <x/>
    </i>
    <i r="1">
      <x v="1"/>
    </i>
    <i r="1">
      <x v="2"/>
    </i>
    <i r="1">
      <x v="3"/>
    </i>
    <i r="1">
      <x v="4"/>
    </i>
    <i r="1">
      <x v="5"/>
    </i>
    <i r="1">
      <x v="6"/>
    </i>
    <i>
      <x v="2"/>
    </i>
    <i r="1">
      <x/>
    </i>
    <i r="1">
      <x v="1"/>
    </i>
    <i r="1">
      <x v="2"/>
    </i>
    <i r="1">
      <x v="3"/>
    </i>
    <i r="1">
      <x v="4"/>
    </i>
    <i r="1">
      <x v="5"/>
    </i>
    <i>
      <x v="3"/>
    </i>
    <i r="1">
      <x/>
    </i>
    <i r="1">
      <x v="1"/>
    </i>
    <i r="1">
      <x v="2"/>
    </i>
    <i r="1">
      <x v="3"/>
    </i>
    <i r="1">
      <x v="4"/>
    </i>
    <i r="1">
      <x v="5"/>
    </i>
    <i r="1">
      <x v="6"/>
    </i>
    <i>
      <x v="4"/>
    </i>
    <i r="1">
      <x/>
    </i>
    <i r="1">
      <x v="1"/>
    </i>
    <i r="1">
      <x v="2"/>
    </i>
    <i r="1">
      <x v="3"/>
    </i>
    <i r="1">
      <x v="4"/>
    </i>
    <i r="1">
      <x v="5"/>
    </i>
    <i r="1">
      <x v="6"/>
    </i>
    <i t="grand">
      <x/>
    </i>
  </rowItems>
  <colFields count="1">
    <field x="-2"/>
  </colFields>
  <colItems count="2">
    <i>
      <x/>
    </i>
    <i i="1">
      <x v="1"/>
    </i>
  </colItems>
  <dataFields count="2">
    <dataField name="Number Of Customer" fld="2" subtotal="count" baseField="0" baseItem="0"/>
    <dataField name="Total Revenue" fld="3" subtotal="count" baseField="0" baseItem="0"/>
  </dataFields>
  <formats count="7">
    <format dxfId="87">
      <pivotArea dataOnly="0" labelOnly="1" outline="0" fieldPosition="0">
        <references count="1">
          <reference field="4294967294" count="1">
            <x v="1"/>
          </reference>
        </references>
      </pivotArea>
    </format>
    <format dxfId="86">
      <pivotArea collapsedLevelsAreSubtotals="1" fieldPosition="0">
        <references count="2">
          <reference field="4294967294" count="1" selected="0">
            <x v="0"/>
          </reference>
          <reference field="0" count="1">
            <x v="0"/>
          </reference>
        </references>
      </pivotArea>
    </format>
    <format dxfId="85">
      <pivotArea collapsedLevelsAreSubtotals="1" fieldPosition="0">
        <references count="2">
          <reference field="4294967294" count="1" selected="0">
            <x v="0"/>
          </reference>
          <reference field="0" count="1">
            <x v="0"/>
          </reference>
        </references>
      </pivotArea>
    </format>
    <format dxfId="84">
      <pivotArea dataOnly="0" labelOnly="1" grandRow="1" outline="0" fieldPosition="0"/>
    </format>
    <format dxfId="83">
      <pivotArea dataOnly="0" labelOnly="1" grandRow="1" outline="0" fieldPosition="0"/>
    </format>
    <format dxfId="82">
      <pivotArea dataOnly="0" labelOnly="1" outline="0" fieldPosition="0">
        <references count="1">
          <reference field="4294967294" count="1">
            <x v="1"/>
          </reference>
        </references>
      </pivotArea>
    </format>
    <format dxfId="81">
      <pivotArea dataOnly="0" labelOnly="1" outline="0" fieldPosition="0">
        <references count="1">
          <reference field="4294967294" count="1">
            <x v="1"/>
          </reference>
        </references>
      </pivotArea>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Customer"/>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0" showRowHeaders="1" showColHeaders="1" showRowStripes="0" showColStripes="0" showLastColumn="1"/>
  <filters count="1">
    <filter fld="0" type="count" id="8" iMeasureHier="54">
      <autoFilter ref="A1">
        <filterColumn colId="0">
          <top10 val="5" filterVal="5"/>
        </filterColumn>
      </autoFilter>
    </filter>
  </filters>
  <rowHierarchiesUsage count="2">
    <rowHierarchyUsage hierarchyUsage="5"/>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product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11F131-C3D8-421A-9345-040F4DF424AF}" name="PivotTable2" cacheId="144" applyNumberFormats="0" applyBorderFormats="0" applyFontFormats="0" applyPatternFormats="0" applyAlignmentFormats="0" applyWidthHeightFormats="1" dataCaption="Values" tag="f185b80e-ca74-48c6-8f10-c6f7a45884d3" updatedVersion="7" minRefreshableVersion="3" useAutoFormatting="1" subtotalHiddenItems="1" itemPrintTitles="1" createdVersion="7" indent="0" outline="1" outlineData="1" multipleFieldFilters="0" rowHeaderCaption="Store">
  <location ref="P10:Q15"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Reveneu" fld="0" subtotal="count" baseField="1" baseItem="0"/>
  </dataFields>
  <formats count="2">
    <format dxfId="89">
      <pivotArea dataOnly="0" labelOnly="1" grandRow="1" outline="0" fieldPosition="0"/>
    </format>
    <format dxfId="88">
      <pivotArea dataOnly="0" labelOnly="1" grandRow="1" outline="0"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eu"/>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C6E8B-B3B7-405B-841F-3D57B8561610}" name="PivotTable5" cacheId="159" applyNumberFormats="0" applyBorderFormats="0" applyFontFormats="0" applyPatternFormats="0" applyAlignmentFormats="0" applyWidthHeightFormats="1" dataCaption="Values" tag="44a739bc-82a1-4b26-ab75-401c76a722b5" updatedVersion="7" minRefreshableVersion="3" useAutoFormatting="1" subtotalHiddenItems="1" itemPrintTitles="1" createdVersion="7" indent="0" outline="1" outlineData="1" multipleFieldFilters="0" rowHeaderCaption="customer">
  <location ref="M3:N14" firstHeaderRow="1" firstDataRow="1" firstDataCol="1"/>
  <pivotFields count="4">
    <pivotField allDrilled="1" subtotalTop="0" showAll="0" dataSourceSort="1" defaultSubtotal="0" defaultAttributeDrillState="1">
      <items count="4">
        <item s="1" x="0"/>
        <item s="1" x="1"/>
        <item s="1" x="2"/>
        <item s="1" x="3"/>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4"/>
    </i>
    <i>
      <x v="3"/>
    </i>
    <i>
      <x v="9"/>
    </i>
    <i>
      <x v="2"/>
    </i>
    <i>
      <x/>
    </i>
    <i>
      <x v="7"/>
    </i>
    <i>
      <x v="1"/>
    </i>
    <i>
      <x v="8"/>
    </i>
    <i>
      <x v="6"/>
    </i>
    <i>
      <x v="5"/>
    </i>
    <i t="grand">
      <x/>
    </i>
  </rowItems>
  <colItems count="1">
    <i/>
  </colItems>
  <dataFields count="1">
    <dataField fld="2" subtotal="count" baseField="0" baseItem="0"/>
  </dataFields>
  <formats count="3">
    <format dxfId="92">
      <pivotArea dataOnly="0" labelOnly="1" grandRow="1" outline="0" fieldPosition="0"/>
    </format>
    <format dxfId="91">
      <pivotArea dataOnly="0" labelOnly="1" grandRow="1" outline="0" fieldPosition="0"/>
    </format>
    <format dxfId="90">
      <pivotArea dataOnly="0" labelOnly="1" grandRow="1" outline="0"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ata]"/>
        <x15:activeTabTopLevelEntity name="[sales_data]"/>
        <x15:activeTabTopLevelEntity name="[customers_data 1]"/>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E14EBC-17AF-45F9-872C-8871D6769E9B}" name="PivotTable3" cacheId="147" applyNumberFormats="0" applyBorderFormats="0" applyFontFormats="0" applyPatternFormats="0" applyAlignmentFormats="0" applyWidthHeightFormats="1" dataCaption="Values" tag="2044e764-ccca-4c66-8412-fca87f02e307" updatedVersion="7" minRefreshableVersion="3" useAutoFormatting="1" subtotalHiddenItems="1" itemPrintTitles="1" createdVersion="7" indent="0" outline="1" outlineData="1" multipleFieldFilters="0" rowHeaderCaption="Store">
  <location ref="P3:Q8" firstHeaderRow="1" firstDataRow="1" firstDataCol="1"/>
  <pivotFields count="3">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subtotal="count"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765A1E-5F44-41E0-AFCC-66DC9E9E24E0}" name="PivotTable4" cacheId="150" applyNumberFormats="0" applyBorderFormats="0" applyFontFormats="0" applyPatternFormats="0" applyAlignmentFormats="0" applyWidthHeightFormats="1" dataCaption="Values" tag="b323dd52-d0a3-4db0-9c31-ed6fbd15f960" updatedVersion="7" minRefreshableVersion="3" useAutoFormatting="1" subtotalHiddenItems="1" itemPrintTitles="1" createdVersion="7" indent="0" outline="1" outlineData="1" multipleFieldFilters="0">
  <location ref="E17:F24" firstHeaderRow="1" firstDataRow="1" firstDataCol="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3">
    <field x="0"/>
    <field x="1"/>
    <field x="2"/>
  </rowFields>
  <rowItems count="7">
    <i>
      <x/>
    </i>
    <i r="1">
      <x/>
    </i>
    <i r="2">
      <x/>
    </i>
    <i>
      <x v="1"/>
    </i>
    <i r="1">
      <x v="1"/>
    </i>
    <i r="2">
      <x v="1"/>
    </i>
    <i t="grand">
      <x/>
    </i>
  </rowItems>
  <colItems count="1">
    <i/>
  </colItems>
  <dataFields count="1">
    <dataField name="Total Revenue" fld="3" baseField="0" baseItem="0" numFmtId="165"/>
  </dataFields>
  <formats count="3">
    <format dxfId="95">
      <pivotArea dataOnly="0" labelOnly="1" grandRow="1" outline="0" fieldPosition="0"/>
    </format>
    <format dxfId="94">
      <pivotArea dataOnly="0" labelOnly="1" grandRow="1" outline="0" fieldPosition="0"/>
    </format>
    <format dxfId="93">
      <pivotArea dataOnly="0" labelOnly="1" grandRow="1" outline="0"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3">
    <rowHierarchyUsage hierarchyUsage="19"/>
    <rowHierarchyUsage hierarchyUsage="20"/>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F0DA5A-C40E-4E5D-BB53-68D7372A4648}" name="PivotTable8" cacheId="213" applyNumberFormats="0" applyBorderFormats="0" applyFontFormats="0" applyPatternFormats="0" applyAlignmentFormats="0" applyWidthHeightFormats="1" dataCaption="Values" tag="3771cf01-8f03-4394-a437-99f3868bb921" updatedVersion="7" minRefreshableVersion="3" useAutoFormatting="1" subtotalHiddenItems="1" itemPrintTitles="1" createdVersion="7" indent="0" outline="1" outlineData="1" multipleFieldFilters="0" rowHeaderCaption="Region">
  <location ref="H3:K10" firstHeaderRow="0" firstDataRow="1" firstDataCol="1"/>
  <pivotFields count="4">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7">
    <i>
      <x v="1"/>
    </i>
    <i>
      <x v="2"/>
    </i>
    <i>
      <x v="5"/>
    </i>
    <i>
      <x v="3"/>
    </i>
    <i>
      <x v="4"/>
    </i>
    <i>
      <x/>
    </i>
    <i t="grand">
      <x/>
    </i>
  </rowItems>
  <colFields count="1">
    <field x="-2"/>
  </colFields>
  <colItems count="3">
    <i>
      <x/>
    </i>
    <i i="1">
      <x v="1"/>
    </i>
    <i i="2">
      <x v="2"/>
    </i>
  </colItems>
  <dataFields count="3">
    <dataField name="Total Revenue" fld="1" subtotal="count" baseField="0" baseItem="1"/>
    <dataField fld="2" subtotal="count" baseField="0" baseItem="0"/>
    <dataField name="Number Of Customer" fld="3" subtotal="count" baseField="0" baseItem="6"/>
  </dataFields>
  <formats count="6">
    <format dxfId="101">
      <pivotArea dataOnly="0" labelOnly="1" grandRow="1" outline="0" fieldPosition="0"/>
    </format>
    <format dxfId="100">
      <pivotArea dataOnly="0" labelOnly="1" grandRow="1" outline="0" fieldPosition="0"/>
    </format>
    <format dxfId="99">
      <pivotArea dataOnly="0" labelOnly="1" grandRow="1" outline="0" fieldPosition="0"/>
    </format>
    <format dxfId="98">
      <pivotArea dataOnly="0" labelOnly="1" grandRow="1" outline="0" fieldPosition="0"/>
    </format>
    <format dxfId="97">
      <pivotArea dataOnly="0" labelOnly="1" grandRow="1" outline="0" fieldPosition="0"/>
    </format>
    <format dxfId="96">
      <pivotArea dataOnly="0" labelOnly="1" grandRow="1" outline="0"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Customer"/>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data]"/>
        <x15:activeTabTopLevelEntity name="[customer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461D306-E515-4CBD-B95E-1042B07246E1}" name="PivotTable1" cacheId="201" applyNumberFormats="0" applyBorderFormats="0" applyFontFormats="0" applyPatternFormats="0" applyAlignmentFormats="0" applyWidthHeightFormats="1" dataCaption="Values" tag="52a894d4-ca02-4c90-a3a5-9eac5978e563" updatedVersion="7" minRefreshableVersion="3" useAutoFormatting="1" itemPrintTitles="1" createdVersion="7" indent="0" outline="1" outlineData="1" multipleFieldFilters="0">
  <location ref="A1:B203" firstHeaderRow="1" firstDataRow="1" firstDataCol="1"/>
  <pivotFields count="2">
    <pivotField dataField="1" subtotalTop="0" showAll="0" defaultSubtotal="0"/>
    <pivotField axis="axisRow" allDrilled="1" subtotalTop="0" showAll="0" dataSourceSort="1" defaultSubtotal="0" defaultAttributeDrillState="1">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s>
    </pivotField>
  </pivotFields>
  <rowFields count="1">
    <field x="1"/>
  </rowFields>
  <rowItems count="2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t="grand">
      <x/>
    </i>
  </rowItems>
  <colItems count="1">
    <i/>
  </colItems>
  <dataFields count="1">
    <dataField name="Sum of SaleAmount" fld="0"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78D202B-E341-4E65-ABCB-181A14723B80}" sourceName="[products_data].[Category]">
  <data>
    <olap pivotCacheId="457930587">
      <levels count="2">
        <level uniqueName="[products_data].[Category].[(All)]" sourceCaption="(All)" count="0"/>
        <level uniqueName="[products_data].[Category].[Category]" sourceCaption="Category" count="4">
          <ranges>
            <range startItem="0">
              <i n="[products_data].[Category].&amp;[Clothing]" c="Clothing"/>
              <i n="[products_data].[Category].&amp;[Electronics]" c="Electronics"/>
              <i n="[products_data].[Category].&amp;[Home]" c="Home"/>
              <i n="[products_data].[Category].&amp;[Office]" c="Office"/>
            </range>
          </ranges>
        </level>
      </levels>
      <selections count="1">
        <selection n="[products_data].[Category].[All]"/>
      </selections>
    </olap>
  </data>
  <extLst>
    <x:ext xmlns:x15="http://schemas.microsoft.com/office/spreadsheetml/2010/11/main" uri="{03082B11-2C62-411c-B77F-237D8FCFBE4C}">
      <x15:slicerCachePivotTables>
        <pivotTable tabId="4294967295" name="PivotChartTable13"/>
        <pivotTable tabId="4294967295" name="PivotChartTable12"/>
        <pivotTable tabId="4294967295" name="PivotChartTable7"/>
        <pivotTable tabId="4294967295" name="PivotChartTable8"/>
        <pivotTable tabId="4294967295" name="PivotChartTable1"/>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8D04F2C2-EE93-4854-BD90-0CA89955579A}" sourceName="[sales_data].[StoreID]">
  <pivotTables>
    <pivotTable tabId="1" name="PivotTable1"/>
    <pivotTable tabId="1" name="PivotTable2"/>
    <pivotTable tabId="1" name="PivotTable3"/>
    <pivotTable tabId="1" name="PivotTable4"/>
    <pivotTable tabId="1" name="PivotTable7"/>
    <pivotTable tabId="1" name="PivotTable8"/>
    <pivotTable tabId="1" name="PivotTable5"/>
  </pivotTables>
  <data>
    <olap pivotCacheId="457930587">
      <levels count="2">
        <level uniqueName="[sales_data].[StoreID].[(All)]" sourceCaption="(All)" count="0"/>
        <level uniqueName="[sales_data].[StoreID].[StoreID]" sourceCaption="StoreID" count="4">
          <ranges>
            <range startItem="0">
              <i n="[sales_data].[StoreID].&amp;[401]" c="401"/>
              <i n="[sales_data].[StoreID].&amp;[402]" c="402"/>
              <i n="[sales_data].[StoreID].&amp;[403]" c="403"/>
              <i n="[sales_data].[StoreID].&amp;[404]" c="404"/>
            </range>
          </ranges>
        </level>
      </levels>
      <selections count="1">
        <selection n="[sales_data].[StoreID].[All]"/>
      </selections>
    </olap>
  </data>
  <extLst>
    <x:ext xmlns:x15="http://schemas.microsoft.com/office/spreadsheetml/2010/11/main" uri="{03082B11-2C62-411c-B77F-237D8FCFBE4C}">
      <x15:slicerCachePivotTables>
        <pivotTable tabId="4294967295" name="PivotChartTable13"/>
        <pivotTable tabId="4294967295" name="PivotChartTable12"/>
        <pivotTable tabId="4294967295" name="PivotChartTable7"/>
        <pivotTable tabId="4294967295" name="PivotChartTable8"/>
        <pivotTable tabId="4294967295" name="PivotChartTable1"/>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Up1" xr10:uid="{652E52E7-778B-45B0-8242-2CB9E8FBAB7C}" sourceName="[customers_data].[Region_Up]">
  <data>
    <olap pivotCacheId="457930587">
      <levels count="2">
        <level uniqueName="[customers_data].[Region_Up].[(All)]" sourceCaption="(All)" count="0"/>
        <level uniqueName="[customers_data].[Region_Up].[Region_Up]" sourceCaption="Region_Up" count="7" crossFilter="none">
          <ranges>
            <range startItem="0">
              <i n="[customers_data].[Region_Up].&amp;[Central]" c="Central"/>
              <i n="[customers_data].[Region_Up].&amp;[East]" c="East"/>
              <i n="[customers_data].[Region_Up].&amp;[North]" c="North"/>
              <i n="[customers_data].[Region_Up].&amp;[South]" c="South"/>
              <i n="[customers_data].[Region_Up].&amp;[South-West]" c="South-West"/>
              <i n="[customers_data].[Region_Up].&amp;[West]" c="West"/>
              <i n="[customers_data].[Region_Up].&amp;" c="(blank)"/>
            </range>
          </ranges>
        </level>
      </levels>
      <selections count="1">
        <selection n="[customers_data].[Region_Up].[All]"/>
      </selections>
    </olap>
  </data>
  <extLst>
    <x:ext xmlns:x15="http://schemas.microsoft.com/office/spreadsheetml/2010/11/main" uri="{03082B11-2C62-411c-B77F-237D8FCFBE4C}">
      <x15:slicerCachePivotTables>
        <pivotTable tabId="4294967295" name="PivotChartTable3"/>
        <pivotTable tabId="4294967295" name="PivotChartTable8"/>
        <pivotTable tabId="4294967295" name="PivotChartTable7"/>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E82156-8910-4F48-95F7-BA8C894BF902}" cache="Slicer_Category" caption="Category" columnCount="2" level="1" style="SlicerStyleDark2" rowHeight="234950"/>
  <slicer name="StoreID" xr10:uid="{7B33A885-C471-442E-81B6-52175A3A3C8A}" cache="Slicer_StoreID" caption="StoreID" columnCount="2" level="1" style="SlicerStyleDark2" rowHeight="234950"/>
  <slicer name="Region" xr10:uid="{B717C540-2498-4D48-908D-0921B4649034}" cache="Slicer_Region_Up1" caption="Region" level="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JoinDate" xr10:uid="{9E647F8F-257D-42A7-A219-47D0B99E00C0}" sourceName="[customers_data].[JoinDate]">
  <pivotTables>
    <pivotTable tabId="4294967295" name="PivotChartTable1"/>
  </pivotTables>
  <state minimalRefreshVersion="6" lastRefreshVersion="6" pivotCacheId="1826059429" filterType="unknown">
    <bounds startDate="2020-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Date" xr10:uid="{7182BF2C-7EFD-4C9B-A578-BBA4434CD2E1}" cache="Timeline_JoinDate" caption="JoinDate" level="2" selectionLevel="2" scrollPosition="2024-05-22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A5B8-8074-4C92-85A5-B7DBF0F7015C}">
  <dimension ref="A3:Q43"/>
  <sheetViews>
    <sheetView showGridLines="0" showRowColHeaders="0" zoomScale="90" zoomScaleNormal="90" workbookViewId="0">
      <selection activeCell="K3" sqref="K3"/>
    </sheetView>
  </sheetViews>
  <sheetFormatPr defaultRowHeight="14.4" x14ac:dyDescent="0.3"/>
  <cols>
    <col min="1" max="1" width="14.88671875" bestFit="1" customWidth="1"/>
    <col min="2" max="2" width="20.109375" bestFit="1" customWidth="1"/>
    <col min="3" max="3" width="13.6640625" bestFit="1" customWidth="1"/>
    <col min="4" max="4" width="3.21875" customWidth="1"/>
    <col min="5" max="5" width="12.109375" bestFit="1" customWidth="1"/>
    <col min="6" max="6" width="13.6640625" bestFit="1" customWidth="1"/>
    <col min="7" max="7" width="5.21875" customWidth="1"/>
    <col min="8" max="8" width="13.21875" bestFit="1" customWidth="1"/>
    <col min="9" max="9" width="13.6640625" bestFit="1" customWidth="1"/>
    <col min="10" max="10" width="16" bestFit="1" customWidth="1"/>
    <col min="11" max="11" width="20.109375" bestFit="1" customWidth="1"/>
    <col min="12" max="12" width="19.88671875" bestFit="1" customWidth="1"/>
    <col min="13" max="13" width="24.44140625" bestFit="1" customWidth="1"/>
    <col min="14" max="14" width="16" bestFit="1" customWidth="1"/>
    <col min="15" max="15" width="3.109375" customWidth="1"/>
    <col min="16" max="16" width="11.21875" bestFit="1" customWidth="1"/>
    <col min="17" max="17" width="13.6640625" bestFit="1" customWidth="1"/>
    <col min="18" max="20" width="10.109375" bestFit="1" customWidth="1"/>
    <col min="21" max="21" width="9.109375" bestFit="1" customWidth="1"/>
    <col min="22" max="22" width="10.109375" bestFit="1" customWidth="1"/>
    <col min="23" max="23" width="9.109375" bestFit="1" customWidth="1"/>
    <col min="24" max="25" width="10.109375" bestFit="1" customWidth="1"/>
    <col min="26" max="26" width="9.109375" bestFit="1" customWidth="1"/>
    <col min="27" max="28" width="10.109375" bestFit="1" customWidth="1"/>
    <col min="29" max="29" width="11.6640625" bestFit="1" customWidth="1"/>
  </cols>
  <sheetData>
    <row r="3" spans="1:17" x14ac:dyDescent="0.3">
      <c r="A3" s="2" t="s">
        <v>24</v>
      </c>
      <c r="B3" t="s">
        <v>23</v>
      </c>
      <c r="C3" s="16" t="s">
        <v>37</v>
      </c>
      <c r="E3" s="8" t="s">
        <v>16</v>
      </c>
      <c r="F3" t="s">
        <v>37</v>
      </c>
      <c r="H3" s="2" t="s">
        <v>25</v>
      </c>
      <c r="I3" t="s">
        <v>37</v>
      </c>
      <c r="J3" t="s">
        <v>22</v>
      </c>
      <c r="K3" t="s">
        <v>23</v>
      </c>
      <c r="M3" s="2" t="s">
        <v>39</v>
      </c>
      <c r="N3" t="s">
        <v>22</v>
      </c>
      <c r="P3" s="2" t="s">
        <v>26</v>
      </c>
      <c r="Q3" t="s">
        <v>37</v>
      </c>
    </row>
    <row r="4" spans="1:17" x14ac:dyDescent="0.3">
      <c r="A4" s="3" t="s">
        <v>10</v>
      </c>
      <c r="B4" s="1"/>
      <c r="C4" s="1"/>
      <c r="E4" s="9">
        <v>907.86</v>
      </c>
      <c r="F4" s="5">
        <v>45211.42</v>
      </c>
      <c r="H4" s="3" t="s">
        <v>18</v>
      </c>
      <c r="I4" s="5">
        <v>679700.37</v>
      </c>
      <c r="J4" s="1">
        <v>670</v>
      </c>
      <c r="K4" s="1">
        <v>65</v>
      </c>
      <c r="M4" s="3" t="s">
        <v>32</v>
      </c>
      <c r="N4" s="1">
        <v>22</v>
      </c>
      <c r="P4" s="3">
        <v>0</v>
      </c>
      <c r="Q4" s="5">
        <v>549718.22</v>
      </c>
    </row>
    <row r="5" spans="1:17" x14ac:dyDescent="0.3">
      <c r="A5" s="4" t="s">
        <v>4</v>
      </c>
      <c r="B5" s="1">
        <v>3</v>
      </c>
      <c r="C5" s="5">
        <v>27535.93</v>
      </c>
      <c r="E5" s="9">
        <v>619.36</v>
      </c>
      <c r="F5" s="5">
        <v>43231.32</v>
      </c>
      <c r="H5" s="3" t="s">
        <v>19</v>
      </c>
      <c r="I5" s="5">
        <v>386524.04</v>
      </c>
      <c r="J5" s="1">
        <v>357</v>
      </c>
      <c r="K5" s="1">
        <v>36</v>
      </c>
      <c r="M5" s="3" t="s">
        <v>28</v>
      </c>
      <c r="N5" s="1">
        <v>21</v>
      </c>
      <c r="P5" s="3">
        <v>1</v>
      </c>
      <c r="Q5" s="5">
        <v>432194.05</v>
      </c>
    </row>
    <row r="6" spans="1:17" x14ac:dyDescent="0.3">
      <c r="A6" s="4" t="s">
        <v>1</v>
      </c>
      <c r="B6" s="1">
        <v>2</v>
      </c>
      <c r="C6" s="5">
        <v>14081.08</v>
      </c>
      <c r="E6" s="9">
        <v>780.64</v>
      </c>
      <c r="F6" s="5">
        <v>45511.32</v>
      </c>
      <c r="H6" s="3" t="s">
        <v>21</v>
      </c>
      <c r="I6" s="5">
        <v>345515.15</v>
      </c>
      <c r="J6" s="1">
        <v>328</v>
      </c>
      <c r="K6" s="1">
        <v>35</v>
      </c>
      <c r="M6" s="3" t="s">
        <v>33</v>
      </c>
      <c r="N6" s="1">
        <v>19</v>
      </c>
      <c r="P6" s="3">
        <v>2</v>
      </c>
      <c r="Q6" s="5">
        <v>408734.45</v>
      </c>
    </row>
    <row r="7" spans="1:17" x14ac:dyDescent="0.3">
      <c r="A7" s="4" t="s">
        <v>7</v>
      </c>
      <c r="B7" s="1">
        <v>3</v>
      </c>
      <c r="C7" s="5">
        <v>35306.57</v>
      </c>
      <c r="E7" s="9">
        <v>832.26</v>
      </c>
      <c r="F7" s="5">
        <v>57842.080000000002</v>
      </c>
      <c r="H7" s="3" t="s">
        <v>20</v>
      </c>
      <c r="I7" s="5">
        <v>209758.96</v>
      </c>
      <c r="J7" s="1">
        <v>218</v>
      </c>
      <c r="K7" s="1">
        <v>21</v>
      </c>
      <c r="M7" s="3" t="s">
        <v>36</v>
      </c>
      <c r="N7" s="1">
        <v>18</v>
      </c>
      <c r="P7" s="3">
        <v>3</v>
      </c>
      <c r="Q7" s="5">
        <v>636110.26</v>
      </c>
    </row>
    <row r="8" spans="1:17" x14ac:dyDescent="0.3">
      <c r="A8" s="4" t="s">
        <v>8</v>
      </c>
      <c r="B8" s="1">
        <v>3</v>
      </c>
      <c r="C8" s="5">
        <v>24947.94</v>
      </c>
      <c r="E8" s="9">
        <v>873.45</v>
      </c>
      <c r="F8" s="5">
        <v>40702.76</v>
      </c>
      <c r="H8" s="3" t="s">
        <v>14</v>
      </c>
      <c r="I8" s="5">
        <v>207619.52</v>
      </c>
      <c r="J8" s="1">
        <v>215</v>
      </c>
      <c r="K8" s="1">
        <v>21</v>
      </c>
      <c r="M8" s="3" t="s">
        <v>29</v>
      </c>
      <c r="N8" s="1">
        <v>18</v>
      </c>
      <c r="P8" s="3" t="s">
        <v>12</v>
      </c>
      <c r="Q8" s="5">
        <v>2026756.98</v>
      </c>
    </row>
    <row r="9" spans="1:17" x14ac:dyDescent="0.3">
      <c r="A9" s="4" t="s">
        <v>3</v>
      </c>
      <c r="B9" s="1">
        <v>2</v>
      </c>
      <c r="C9" s="5">
        <v>9000.93</v>
      </c>
      <c r="E9" s="9">
        <v>894.1</v>
      </c>
      <c r="F9" s="5">
        <v>45330.87</v>
      </c>
      <c r="H9" s="3" t="s">
        <v>17</v>
      </c>
      <c r="I9" s="5">
        <v>197350.83</v>
      </c>
      <c r="J9" s="1">
        <v>209</v>
      </c>
      <c r="K9" s="1">
        <v>22</v>
      </c>
      <c r="M9" s="3" t="s">
        <v>34</v>
      </c>
      <c r="N9" s="1">
        <v>17</v>
      </c>
    </row>
    <row r="10" spans="1:17" ht="16.2" x14ac:dyDescent="0.4">
      <c r="A10" s="4" t="s">
        <v>5</v>
      </c>
      <c r="B10" s="1">
        <v>4</v>
      </c>
      <c r="C10" s="5">
        <v>39173.46</v>
      </c>
      <c r="E10" s="9">
        <v>926.51</v>
      </c>
      <c r="F10" s="5">
        <v>48827.08</v>
      </c>
      <c r="H10" s="17" t="s">
        <v>12</v>
      </c>
      <c r="I10" s="5">
        <v>2026468.87</v>
      </c>
      <c r="J10" s="1">
        <v>1997</v>
      </c>
      <c r="K10" s="1">
        <v>200</v>
      </c>
      <c r="M10" s="3" t="s">
        <v>30</v>
      </c>
      <c r="N10" s="1">
        <v>17</v>
      </c>
      <c r="P10" s="2" t="s">
        <v>26</v>
      </c>
      <c r="Q10" t="s">
        <v>38</v>
      </c>
    </row>
    <row r="11" spans="1:17" ht="16.2" x14ac:dyDescent="0.4">
      <c r="A11" s="4" t="s">
        <v>9</v>
      </c>
      <c r="B11" s="1">
        <v>3</v>
      </c>
      <c r="C11" s="5">
        <v>25492.33</v>
      </c>
      <c r="E11" s="9">
        <v>927.25</v>
      </c>
      <c r="F11" s="5">
        <v>41540.79</v>
      </c>
      <c r="M11" s="3" t="s">
        <v>27</v>
      </c>
      <c r="N11" s="1">
        <v>16</v>
      </c>
      <c r="P11" s="3">
        <v>401</v>
      </c>
      <c r="Q11" s="5">
        <v>483942.87</v>
      </c>
    </row>
    <row r="12" spans="1:17" x14ac:dyDescent="0.3">
      <c r="A12" s="3" t="s">
        <v>6</v>
      </c>
      <c r="B12" s="1"/>
      <c r="C12" s="1"/>
      <c r="E12" s="9">
        <v>935.36</v>
      </c>
      <c r="F12" s="5">
        <v>43026.559999999998</v>
      </c>
      <c r="M12" s="3" t="s">
        <v>31</v>
      </c>
      <c r="N12" s="1">
        <v>16</v>
      </c>
      <c r="P12" s="3">
        <v>402</v>
      </c>
      <c r="Q12" s="5">
        <v>498619.84</v>
      </c>
    </row>
    <row r="13" spans="1:17" x14ac:dyDescent="0.3">
      <c r="A13" s="4" t="s">
        <v>4</v>
      </c>
      <c r="B13" s="1">
        <v>2</v>
      </c>
      <c r="C13" s="5">
        <v>32087.53</v>
      </c>
      <c r="E13" s="9">
        <v>950.54</v>
      </c>
      <c r="F13" s="5">
        <v>45625.94</v>
      </c>
      <c r="M13" s="3" t="s">
        <v>35</v>
      </c>
      <c r="N13" s="1">
        <v>16</v>
      </c>
      <c r="P13" s="3">
        <v>403</v>
      </c>
      <c r="Q13" s="5">
        <v>490728.85</v>
      </c>
    </row>
    <row r="14" spans="1:17" x14ac:dyDescent="0.3">
      <c r="A14" s="4" t="s">
        <v>1</v>
      </c>
      <c r="B14" s="1">
        <v>4</v>
      </c>
      <c r="C14" s="5">
        <v>37547.730000000003</v>
      </c>
      <c r="E14" s="15" t="s">
        <v>12</v>
      </c>
      <c r="F14" s="5">
        <v>456850.14</v>
      </c>
      <c r="M14" s="15" t="s">
        <v>12</v>
      </c>
      <c r="N14" s="1">
        <v>180</v>
      </c>
      <c r="P14" s="3">
        <v>404</v>
      </c>
      <c r="Q14" s="5">
        <v>553465.42000000004</v>
      </c>
    </row>
    <row r="15" spans="1:17" x14ac:dyDescent="0.3">
      <c r="A15" s="4" t="s">
        <v>7</v>
      </c>
      <c r="B15" s="1">
        <v>2</v>
      </c>
      <c r="C15" s="5">
        <v>21940.66</v>
      </c>
      <c r="P15" s="14" t="s">
        <v>12</v>
      </c>
      <c r="Q15" s="5">
        <v>2026756.98</v>
      </c>
    </row>
    <row r="16" spans="1:17" x14ac:dyDescent="0.3">
      <c r="A16" s="4" t="s">
        <v>8</v>
      </c>
      <c r="B16" s="1">
        <v>2</v>
      </c>
      <c r="C16" s="5">
        <v>28214.3</v>
      </c>
    </row>
    <row r="17" spans="1:6" x14ac:dyDescent="0.3">
      <c r="A17" s="4" t="s">
        <v>3</v>
      </c>
      <c r="B17" s="1">
        <v>2</v>
      </c>
      <c r="C17" s="5">
        <v>32147.54</v>
      </c>
      <c r="E17" s="2" t="s">
        <v>13</v>
      </c>
      <c r="F17" t="s">
        <v>37</v>
      </c>
    </row>
    <row r="18" spans="1:6" x14ac:dyDescent="0.3">
      <c r="A18" s="4" t="s">
        <v>5</v>
      </c>
      <c r="B18" s="1">
        <v>3</v>
      </c>
      <c r="C18" s="5">
        <v>29215.73</v>
      </c>
      <c r="E18" s="3">
        <v>2023</v>
      </c>
      <c r="F18" s="7"/>
    </row>
    <row r="19" spans="1:6" x14ac:dyDescent="0.3">
      <c r="A19" s="4" t="s">
        <v>9</v>
      </c>
      <c r="B19" s="1">
        <v>4</v>
      </c>
      <c r="C19" s="5">
        <v>55501.87</v>
      </c>
      <c r="E19" s="4" t="s">
        <v>15</v>
      </c>
      <c r="F19" s="7"/>
    </row>
    <row r="20" spans="1:6" x14ac:dyDescent="0.3">
      <c r="A20" s="3" t="s">
        <v>0</v>
      </c>
      <c r="B20" s="1"/>
      <c r="C20" s="1"/>
      <c r="E20" s="6">
        <v>1</v>
      </c>
      <c r="F20" s="7">
        <v>737.53</v>
      </c>
    </row>
    <row r="21" spans="1:6" x14ac:dyDescent="0.3">
      <c r="A21" s="4" t="s">
        <v>4</v>
      </c>
      <c r="B21" s="1">
        <v>4</v>
      </c>
      <c r="C21" s="5">
        <v>60397.49</v>
      </c>
      <c r="E21" s="3">
        <v>2025</v>
      </c>
      <c r="F21" s="7"/>
    </row>
    <row r="22" spans="1:6" x14ac:dyDescent="0.3">
      <c r="A22" s="4" t="s">
        <v>1</v>
      </c>
      <c r="B22" s="1">
        <v>5</v>
      </c>
      <c r="C22" s="5">
        <v>53474.33</v>
      </c>
      <c r="E22" s="4" t="s">
        <v>6</v>
      </c>
      <c r="F22" s="7"/>
    </row>
    <row r="23" spans="1:6" x14ac:dyDescent="0.3">
      <c r="A23" s="4" t="s">
        <v>7</v>
      </c>
      <c r="B23" s="1">
        <v>1</v>
      </c>
      <c r="C23" s="5">
        <v>7823.36</v>
      </c>
      <c r="E23" s="6">
        <v>2</v>
      </c>
      <c r="F23" s="7">
        <v>2026019.45</v>
      </c>
    </row>
    <row r="24" spans="1:6" x14ac:dyDescent="0.3">
      <c r="A24" s="4" t="s">
        <v>8</v>
      </c>
      <c r="B24" s="1">
        <v>2</v>
      </c>
      <c r="C24" s="5">
        <v>19112.73</v>
      </c>
      <c r="E24" s="15" t="s">
        <v>12</v>
      </c>
      <c r="F24" s="7">
        <v>2026756.98</v>
      </c>
    </row>
    <row r="25" spans="1:6" x14ac:dyDescent="0.3">
      <c r="A25" s="4" t="s">
        <v>3</v>
      </c>
      <c r="B25" s="1">
        <v>3</v>
      </c>
      <c r="C25" s="5">
        <v>32973.050000000003</v>
      </c>
    </row>
    <row r="26" spans="1:6" x14ac:dyDescent="0.3">
      <c r="A26" s="4" t="s">
        <v>5</v>
      </c>
      <c r="B26" s="1">
        <v>2</v>
      </c>
      <c r="C26" s="5">
        <v>24394.13</v>
      </c>
    </row>
    <row r="27" spans="1:6" x14ac:dyDescent="0.3">
      <c r="A27" s="3" t="s">
        <v>2</v>
      </c>
      <c r="B27" s="1"/>
      <c r="C27" s="1"/>
    </row>
    <row r="28" spans="1:6" x14ac:dyDescent="0.3">
      <c r="A28" s="4" t="s">
        <v>4</v>
      </c>
      <c r="B28" s="1">
        <v>4</v>
      </c>
      <c r="C28" s="5">
        <v>45757.38</v>
      </c>
    </row>
    <row r="29" spans="1:6" x14ac:dyDescent="0.3">
      <c r="A29" s="4" t="s">
        <v>1</v>
      </c>
      <c r="B29" s="1">
        <v>5</v>
      </c>
      <c r="C29" s="5">
        <v>60769.919999999998</v>
      </c>
    </row>
    <row r="30" spans="1:6" x14ac:dyDescent="0.3">
      <c r="A30" s="4" t="s">
        <v>7</v>
      </c>
      <c r="B30" s="1">
        <v>1</v>
      </c>
      <c r="C30" s="5">
        <v>9693.92</v>
      </c>
    </row>
    <row r="31" spans="1:6" x14ac:dyDescent="0.3">
      <c r="A31" s="4" t="s">
        <v>8</v>
      </c>
      <c r="B31" s="1">
        <v>2</v>
      </c>
      <c r="C31" s="5">
        <v>17860.75</v>
      </c>
    </row>
    <row r="32" spans="1:6" x14ac:dyDescent="0.3">
      <c r="A32" s="4" t="s">
        <v>3</v>
      </c>
      <c r="B32" s="1">
        <v>1</v>
      </c>
      <c r="C32" s="5">
        <v>9549.67</v>
      </c>
    </row>
    <row r="33" spans="1:3" x14ac:dyDescent="0.3">
      <c r="A33" s="4" t="s">
        <v>5</v>
      </c>
      <c r="B33" s="1">
        <v>4</v>
      </c>
      <c r="C33" s="5">
        <v>44678.59</v>
      </c>
    </row>
    <row r="34" spans="1:3" x14ac:dyDescent="0.3">
      <c r="A34" s="4" t="s">
        <v>9</v>
      </c>
      <c r="B34" s="1">
        <v>3</v>
      </c>
      <c r="C34" s="5">
        <v>32582.79</v>
      </c>
    </row>
    <row r="35" spans="1:3" x14ac:dyDescent="0.3">
      <c r="A35" s="3" t="s">
        <v>11</v>
      </c>
      <c r="B35" s="1"/>
      <c r="C35" s="1"/>
    </row>
    <row r="36" spans="1:3" x14ac:dyDescent="0.3">
      <c r="A36" s="4" t="s">
        <v>4</v>
      </c>
      <c r="B36" s="1">
        <v>2</v>
      </c>
      <c r="C36" s="5">
        <v>26596.52</v>
      </c>
    </row>
    <row r="37" spans="1:3" x14ac:dyDescent="0.3">
      <c r="A37" s="4" t="s">
        <v>1</v>
      </c>
      <c r="B37" s="1">
        <v>3</v>
      </c>
      <c r="C37" s="5">
        <v>40764.43</v>
      </c>
    </row>
    <row r="38" spans="1:3" x14ac:dyDescent="0.3">
      <c r="A38" s="4" t="s">
        <v>7</v>
      </c>
      <c r="B38" s="1">
        <v>2</v>
      </c>
      <c r="C38" s="5">
        <v>17469.22</v>
      </c>
    </row>
    <row r="39" spans="1:3" x14ac:dyDescent="0.3">
      <c r="A39" s="4" t="s">
        <v>8</v>
      </c>
      <c r="B39" s="1">
        <v>5</v>
      </c>
      <c r="C39" s="5">
        <v>30413.599999999999</v>
      </c>
    </row>
    <row r="40" spans="1:3" x14ac:dyDescent="0.3">
      <c r="A40" s="4" t="s">
        <v>3</v>
      </c>
      <c r="B40" s="1">
        <v>3</v>
      </c>
      <c r="C40" s="5">
        <v>19533.900000000001</v>
      </c>
    </row>
    <row r="41" spans="1:3" x14ac:dyDescent="0.3">
      <c r="A41" s="4" t="s">
        <v>5</v>
      </c>
      <c r="B41" s="1">
        <v>3</v>
      </c>
      <c r="C41" s="5">
        <v>27879.3</v>
      </c>
    </row>
    <row r="42" spans="1:3" x14ac:dyDescent="0.3">
      <c r="A42" s="4" t="s">
        <v>9</v>
      </c>
      <c r="B42" s="1">
        <v>4</v>
      </c>
      <c r="C42" s="5">
        <v>39555.440000000002</v>
      </c>
    </row>
    <row r="43" spans="1:3" x14ac:dyDescent="0.3">
      <c r="A43" s="14" t="s">
        <v>12</v>
      </c>
      <c r="B43" s="1">
        <v>98</v>
      </c>
      <c r="C43" s="5">
        <v>1033474.12</v>
      </c>
    </row>
  </sheetData>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2F04-13BC-4F30-BC96-BBF17BC9C615}">
  <dimension ref="C1:L15"/>
  <sheetViews>
    <sheetView showGridLines="0" tabSelected="1" zoomScale="90" zoomScaleNormal="90" workbookViewId="0">
      <selection activeCell="R3" sqref="R3"/>
    </sheetView>
  </sheetViews>
  <sheetFormatPr defaultRowHeight="14.4" x14ac:dyDescent="0.3"/>
  <cols>
    <col min="1" max="1" width="13.109375" style="11" bestFit="1" customWidth="1"/>
    <col min="2" max="2" width="16.44140625" style="11" customWidth="1"/>
    <col min="3" max="3" width="12.44140625" style="19" customWidth="1"/>
    <col min="4" max="4" width="7.44140625" style="11" customWidth="1"/>
    <col min="5" max="5" width="11.6640625" style="11" bestFit="1" customWidth="1"/>
    <col min="6" max="6" width="18.33203125" style="11" bestFit="1" customWidth="1"/>
    <col min="7" max="7" width="13.44140625" style="11" bestFit="1" customWidth="1"/>
    <col min="8" max="8" width="11.88671875" style="11" bestFit="1" customWidth="1"/>
    <col min="9" max="9" width="16" style="11" bestFit="1" customWidth="1"/>
    <col min="10" max="10" width="18.77734375" style="11" customWidth="1"/>
    <col min="11" max="11" width="21.88671875" style="11" customWidth="1"/>
    <col min="12" max="12" width="18.109375" style="11" bestFit="1" customWidth="1"/>
    <col min="13" max="16384" width="8.88671875" style="11"/>
  </cols>
  <sheetData>
    <row r="1" spans="7:12" x14ac:dyDescent="0.3">
      <c r="G1" s="10"/>
      <c r="H1" s="10"/>
      <c r="I1" s="10"/>
      <c r="J1" s="10"/>
      <c r="K1" s="10"/>
      <c r="L1" s="10"/>
    </row>
    <row r="2" spans="7:12" x14ac:dyDescent="0.3">
      <c r="G2" s="10"/>
      <c r="H2" s="10"/>
      <c r="I2" s="10"/>
      <c r="J2" s="10"/>
      <c r="K2" s="10"/>
      <c r="L2" s="10"/>
    </row>
    <row r="3" spans="7:12" x14ac:dyDescent="0.3">
      <c r="G3" s="10"/>
      <c r="H3" s="10"/>
      <c r="I3" s="10"/>
      <c r="J3" s="10"/>
      <c r="K3" s="10"/>
      <c r="L3" s="10"/>
    </row>
    <row r="4" spans="7:12" x14ac:dyDescent="0.3">
      <c r="G4" s="10"/>
      <c r="H4" s="10"/>
      <c r="I4" s="10"/>
      <c r="J4" s="10"/>
      <c r="K4" s="10"/>
      <c r="L4" s="10"/>
    </row>
    <row r="5" spans="7:12" x14ac:dyDescent="0.3">
      <c r="G5" s="10"/>
      <c r="H5" s="10"/>
      <c r="I5" s="10"/>
      <c r="J5" s="10"/>
      <c r="K5" s="10"/>
      <c r="L5" s="10"/>
    </row>
    <row r="6" spans="7:12" ht="15.6" x14ac:dyDescent="0.3">
      <c r="G6" s="10"/>
      <c r="H6" s="10"/>
      <c r="I6" s="12"/>
      <c r="J6" s="10"/>
      <c r="K6" s="10" t="s">
        <v>42</v>
      </c>
      <c r="L6" s="10"/>
    </row>
    <row r="7" spans="7:12" x14ac:dyDescent="0.3">
      <c r="G7" s="18">
        <f>GETPIVOTDATA("[Measures].[Total Transaction]",'Table Dashboard'!$H$3)</f>
        <v>1997</v>
      </c>
      <c r="H7" s="10"/>
      <c r="I7" s="18">
        <f>GETPIVOTDATA("[Measures].[Sum of SaleAmount 2]",'Table Dashboard'!$E$17)</f>
        <v>2026756.98</v>
      </c>
      <c r="J7" s="10"/>
      <c r="K7" s="13"/>
      <c r="L7" s="10">
        <f>GETPIVOTDATA("[Measures].[Count of CustomerID]",'Table Dashboard'!$H$3)</f>
        <v>200</v>
      </c>
    </row>
    <row r="8" spans="7:12" x14ac:dyDescent="0.3">
      <c r="G8" s="10"/>
      <c r="H8" s="10"/>
      <c r="I8" s="10"/>
      <c r="J8" s="10"/>
      <c r="K8" s="10"/>
      <c r="L8" s="10"/>
    </row>
    <row r="9" spans="7:12" x14ac:dyDescent="0.3">
      <c r="G9" s="10"/>
      <c r="H9" s="10"/>
      <c r="I9" s="10"/>
      <c r="J9" s="10"/>
      <c r="K9" s="10"/>
      <c r="L9" s="10"/>
    </row>
    <row r="10" spans="7:12" x14ac:dyDescent="0.3">
      <c r="G10" s="10"/>
      <c r="H10" s="10"/>
      <c r="I10" s="10"/>
      <c r="J10" s="10"/>
      <c r="K10" s="10"/>
      <c r="L10" s="10"/>
    </row>
    <row r="11" spans="7:12" x14ac:dyDescent="0.3">
      <c r="G11" s="10"/>
      <c r="H11" s="10"/>
      <c r="I11" s="10"/>
      <c r="J11" s="10"/>
      <c r="K11" s="10"/>
      <c r="L11" s="10"/>
    </row>
    <row r="12" spans="7:12" x14ac:dyDescent="0.3">
      <c r="G12" s="10"/>
      <c r="H12" s="10"/>
      <c r="I12" s="10"/>
      <c r="J12" s="10"/>
      <c r="K12" s="10"/>
      <c r="L12" s="10"/>
    </row>
    <row r="13" spans="7:12" x14ac:dyDescent="0.3">
      <c r="G13" s="10"/>
      <c r="H13" s="10"/>
      <c r="I13" s="10"/>
      <c r="J13" s="10"/>
      <c r="L13" s="10"/>
    </row>
    <row r="14" spans="7:12" x14ac:dyDescent="0.3">
      <c r="G14" s="10"/>
      <c r="H14" s="10"/>
      <c r="I14" s="10"/>
      <c r="J14" s="10"/>
      <c r="K14" s="10"/>
      <c r="L14" s="10"/>
    </row>
    <row r="15" spans="7:12" x14ac:dyDescent="0.3">
      <c r="G15" s="10"/>
      <c r="H15" s="10"/>
      <c r="I15" s="10"/>
      <c r="J15" s="10"/>
      <c r="K15"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2F0A6-FADB-4912-94C5-622FA10D9444}">
  <dimension ref="A1:B203"/>
  <sheetViews>
    <sheetView topLeftCell="A181" workbookViewId="0"/>
  </sheetViews>
  <sheetFormatPr defaultRowHeight="14.4" x14ac:dyDescent="0.3"/>
  <cols>
    <col min="1" max="1" width="12.5546875" bestFit="1" customWidth="1"/>
    <col min="2" max="2" width="18" bestFit="1" customWidth="1"/>
  </cols>
  <sheetData>
    <row r="1" spans="1:2" x14ac:dyDescent="0.3">
      <c r="A1" s="2" t="s">
        <v>13</v>
      </c>
      <c r="B1" t="s">
        <v>41</v>
      </c>
    </row>
    <row r="2" spans="1:2" x14ac:dyDescent="0.3">
      <c r="A2" s="3">
        <v>1000</v>
      </c>
      <c r="B2" s="5">
        <v>15850.6</v>
      </c>
    </row>
    <row r="3" spans="1:2" x14ac:dyDescent="0.3">
      <c r="A3" s="3">
        <v>1001</v>
      </c>
      <c r="B3" s="5">
        <v>6563.66</v>
      </c>
    </row>
    <row r="4" spans="1:2" x14ac:dyDescent="0.3">
      <c r="A4" s="3">
        <v>1002</v>
      </c>
      <c r="B4" s="5">
        <v>7823.36</v>
      </c>
    </row>
    <row r="5" spans="1:2" x14ac:dyDescent="0.3">
      <c r="A5" s="3">
        <v>1003</v>
      </c>
      <c r="B5" s="5">
        <v>22362.35</v>
      </c>
    </row>
    <row r="6" spans="1:2" x14ac:dyDescent="0.3">
      <c r="A6" s="3">
        <v>1004</v>
      </c>
      <c r="B6" s="5">
        <v>17451.919999999998</v>
      </c>
    </row>
    <row r="7" spans="1:2" x14ac:dyDescent="0.3">
      <c r="A7" s="3">
        <v>1005</v>
      </c>
      <c r="B7" s="5">
        <v>20346.669999999998</v>
      </c>
    </row>
    <row r="8" spans="1:2" x14ac:dyDescent="0.3">
      <c r="A8" s="3">
        <v>1006</v>
      </c>
      <c r="B8" s="5">
        <v>3671.38</v>
      </c>
    </row>
    <row r="9" spans="1:2" x14ac:dyDescent="0.3">
      <c r="A9" s="3">
        <v>1007</v>
      </c>
      <c r="B9" s="5">
        <v>12461.42</v>
      </c>
    </row>
    <row r="10" spans="1:2" x14ac:dyDescent="0.3">
      <c r="A10" s="3">
        <v>1008</v>
      </c>
      <c r="B10" s="5">
        <v>5808.53</v>
      </c>
    </row>
    <row r="11" spans="1:2" x14ac:dyDescent="0.3">
      <c r="A11" s="3">
        <v>1009</v>
      </c>
      <c r="B11" s="5">
        <v>5878.51</v>
      </c>
    </row>
    <row r="12" spans="1:2" x14ac:dyDescent="0.3">
      <c r="A12" s="3">
        <v>1010</v>
      </c>
      <c r="B12" s="5">
        <v>14361.09</v>
      </c>
    </row>
    <row r="13" spans="1:2" x14ac:dyDescent="0.3">
      <c r="A13" s="3">
        <v>1011</v>
      </c>
      <c r="B13" s="5">
        <v>9042.33</v>
      </c>
    </row>
    <row r="14" spans="1:2" x14ac:dyDescent="0.3">
      <c r="A14" s="3">
        <v>1012</v>
      </c>
      <c r="B14" s="5">
        <v>7991.96</v>
      </c>
    </row>
    <row r="15" spans="1:2" x14ac:dyDescent="0.3">
      <c r="A15" s="3">
        <v>1013</v>
      </c>
      <c r="B15" s="5">
        <v>8365.09</v>
      </c>
    </row>
    <row r="16" spans="1:2" x14ac:dyDescent="0.3">
      <c r="A16" s="3">
        <v>1014</v>
      </c>
      <c r="B16" s="5">
        <v>1517.25</v>
      </c>
    </row>
    <row r="17" spans="1:2" x14ac:dyDescent="0.3">
      <c r="A17" s="3">
        <v>1015</v>
      </c>
      <c r="B17" s="5">
        <v>4310.46</v>
      </c>
    </row>
    <row r="18" spans="1:2" x14ac:dyDescent="0.3">
      <c r="A18" s="3">
        <v>1016</v>
      </c>
      <c r="B18" s="5">
        <v>15811.83</v>
      </c>
    </row>
    <row r="19" spans="1:2" x14ac:dyDescent="0.3">
      <c r="A19" s="3">
        <v>1017</v>
      </c>
      <c r="B19" s="5">
        <v>6358.22</v>
      </c>
    </row>
    <row r="20" spans="1:2" x14ac:dyDescent="0.3">
      <c r="A20" s="3">
        <v>1018</v>
      </c>
      <c r="B20" s="5">
        <v>3710.6</v>
      </c>
    </row>
    <row r="21" spans="1:2" x14ac:dyDescent="0.3">
      <c r="A21" s="3">
        <v>1019</v>
      </c>
      <c r="B21" s="5">
        <v>5081.3599999999997</v>
      </c>
    </row>
    <row r="22" spans="1:2" x14ac:dyDescent="0.3">
      <c r="A22" s="3">
        <v>1020</v>
      </c>
      <c r="B22" s="5">
        <v>14386.94</v>
      </c>
    </row>
    <row r="23" spans="1:2" x14ac:dyDescent="0.3">
      <c r="A23" s="3">
        <v>1021</v>
      </c>
      <c r="B23" s="5">
        <v>11101.01</v>
      </c>
    </row>
    <row r="24" spans="1:2" x14ac:dyDescent="0.3">
      <c r="A24" s="3">
        <v>1022</v>
      </c>
      <c r="B24" s="5">
        <v>14224.74</v>
      </c>
    </row>
    <row r="25" spans="1:2" x14ac:dyDescent="0.3">
      <c r="A25" s="3">
        <v>1023</v>
      </c>
      <c r="B25" s="5">
        <v>17852.59</v>
      </c>
    </row>
    <row r="26" spans="1:2" x14ac:dyDescent="0.3">
      <c r="A26" s="3">
        <v>1024</v>
      </c>
      <c r="B26" s="5">
        <v>8553.4</v>
      </c>
    </row>
    <row r="27" spans="1:2" x14ac:dyDescent="0.3">
      <c r="A27" s="3">
        <v>1025</v>
      </c>
      <c r="B27" s="5">
        <v>14422.58</v>
      </c>
    </row>
    <row r="28" spans="1:2" x14ac:dyDescent="0.3">
      <c r="A28" s="3">
        <v>1026</v>
      </c>
      <c r="B28" s="5">
        <v>10003.65</v>
      </c>
    </row>
    <row r="29" spans="1:2" x14ac:dyDescent="0.3">
      <c r="A29" s="3">
        <v>1027</v>
      </c>
      <c r="B29" s="5">
        <v>8068.41</v>
      </c>
    </row>
    <row r="30" spans="1:2" x14ac:dyDescent="0.3">
      <c r="A30" s="3">
        <v>1028</v>
      </c>
      <c r="B30" s="5">
        <v>9682.83</v>
      </c>
    </row>
    <row r="31" spans="1:2" x14ac:dyDescent="0.3">
      <c r="A31" s="3">
        <v>1029</v>
      </c>
      <c r="B31" s="5">
        <v>14376.67</v>
      </c>
    </row>
    <row r="32" spans="1:2" x14ac:dyDescent="0.3">
      <c r="A32" s="3">
        <v>1030</v>
      </c>
      <c r="B32" s="5">
        <v>14942.02</v>
      </c>
    </row>
    <row r="33" spans="1:2" x14ac:dyDescent="0.3">
      <c r="A33" s="3">
        <v>1031</v>
      </c>
      <c r="B33" s="5">
        <v>5066.6099999999997</v>
      </c>
    </row>
    <row r="34" spans="1:2" x14ac:dyDescent="0.3">
      <c r="A34" s="3">
        <v>1032</v>
      </c>
      <c r="B34" s="5">
        <v>12251.84</v>
      </c>
    </row>
    <row r="35" spans="1:2" x14ac:dyDescent="0.3">
      <c r="A35" s="3">
        <v>1033</v>
      </c>
      <c r="B35" s="5">
        <v>17080.21</v>
      </c>
    </row>
    <row r="36" spans="1:2" x14ac:dyDescent="0.3">
      <c r="A36" s="3">
        <v>1034</v>
      </c>
      <c r="B36" s="5">
        <v>15052.46</v>
      </c>
    </row>
    <row r="37" spans="1:2" x14ac:dyDescent="0.3">
      <c r="A37" s="3">
        <v>1035</v>
      </c>
      <c r="B37" s="5">
        <v>13908.83</v>
      </c>
    </row>
    <row r="38" spans="1:2" x14ac:dyDescent="0.3">
      <c r="A38" s="3">
        <v>1036</v>
      </c>
      <c r="B38" s="5">
        <v>11472.69</v>
      </c>
    </row>
    <row r="39" spans="1:2" x14ac:dyDescent="0.3">
      <c r="A39" s="3">
        <v>1037</v>
      </c>
      <c r="B39" s="5">
        <v>2547.59</v>
      </c>
    </row>
    <row r="40" spans="1:2" x14ac:dyDescent="0.3">
      <c r="A40" s="3">
        <v>1038</v>
      </c>
      <c r="B40" s="5">
        <v>9728.84</v>
      </c>
    </row>
    <row r="41" spans="1:2" x14ac:dyDescent="0.3">
      <c r="A41" s="3">
        <v>1039</v>
      </c>
      <c r="B41" s="5">
        <v>12402.47</v>
      </c>
    </row>
    <row r="42" spans="1:2" x14ac:dyDescent="0.3">
      <c r="A42" s="3">
        <v>1040</v>
      </c>
      <c r="B42" s="5">
        <v>9220.64</v>
      </c>
    </row>
    <row r="43" spans="1:2" x14ac:dyDescent="0.3">
      <c r="A43" s="3">
        <v>1041</v>
      </c>
      <c r="B43" s="5">
        <v>12601.89</v>
      </c>
    </row>
    <row r="44" spans="1:2" x14ac:dyDescent="0.3">
      <c r="A44" s="3">
        <v>1042</v>
      </c>
      <c r="B44" s="5">
        <v>19033.96</v>
      </c>
    </row>
    <row r="45" spans="1:2" x14ac:dyDescent="0.3">
      <c r="A45" s="3">
        <v>1043</v>
      </c>
      <c r="B45" s="5">
        <v>9172.3799999999992</v>
      </c>
    </row>
    <row r="46" spans="1:2" x14ac:dyDescent="0.3">
      <c r="A46" s="3">
        <v>1044</v>
      </c>
      <c r="B46" s="5">
        <v>11211.12</v>
      </c>
    </row>
    <row r="47" spans="1:2" x14ac:dyDescent="0.3">
      <c r="A47" s="3">
        <v>1045</v>
      </c>
      <c r="B47" s="5">
        <v>11962.33</v>
      </c>
    </row>
    <row r="48" spans="1:2" x14ac:dyDescent="0.3">
      <c r="A48" s="3">
        <v>1046</v>
      </c>
      <c r="B48" s="5">
        <v>6989.83</v>
      </c>
    </row>
    <row r="49" spans="1:2" x14ac:dyDescent="0.3">
      <c r="A49" s="3">
        <v>1047</v>
      </c>
      <c r="B49" s="5">
        <v>2536.5300000000002</v>
      </c>
    </row>
    <row r="50" spans="1:2" x14ac:dyDescent="0.3">
      <c r="A50" s="3">
        <v>1048</v>
      </c>
      <c r="B50" s="5">
        <v>6997.37</v>
      </c>
    </row>
    <row r="51" spans="1:2" x14ac:dyDescent="0.3">
      <c r="A51" s="3">
        <v>1049</v>
      </c>
      <c r="B51" s="5">
        <v>13028.76</v>
      </c>
    </row>
    <row r="52" spans="1:2" x14ac:dyDescent="0.3">
      <c r="A52" s="3">
        <v>1050</v>
      </c>
      <c r="B52" s="5">
        <v>12900.72</v>
      </c>
    </row>
    <row r="53" spans="1:2" x14ac:dyDescent="0.3">
      <c r="A53" s="3">
        <v>1051</v>
      </c>
      <c r="B53" s="5">
        <v>6228.94</v>
      </c>
    </row>
    <row r="54" spans="1:2" x14ac:dyDescent="0.3">
      <c r="A54" s="3">
        <v>1052</v>
      </c>
      <c r="B54" s="5">
        <v>7790.17</v>
      </c>
    </row>
    <row r="55" spans="1:2" x14ac:dyDescent="0.3">
      <c r="A55" s="3">
        <v>1053</v>
      </c>
      <c r="B55" s="5">
        <v>10386.19</v>
      </c>
    </row>
    <row r="56" spans="1:2" x14ac:dyDescent="0.3">
      <c r="A56" s="3">
        <v>1054</v>
      </c>
      <c r="B56" s="5">
        <v>7252.37</v>
      </c>
    </row>
    <row r="57" spans="1:2" x14ac:dyDescent="0.3">
      <c r="A57" s="3">
        <v>1055</v>
      </c>
      <c r="B57" s="5">
        <v>16384.080000000002</v>
      </c>
    </row>
    <row r="58" spans="1:2" x14ac:dyDescent="0.3">
      <c r="A58" s="3">
        <v>1056</v>
      </c>
      <c r="B58" s="5">
        <v>2543.06</v>
      </c>
    </row>
    <row r="59" spans="1:2" x14ac:dyDescent="0.3">
      <c r="A59" s="3">
        <v>1057</v>
      </c>
      <c r="B59" s="5">
        <v>14634.19</v>
      </c>
    </row>
    <row r="60" spans="1:2" x14ac:dyDescent="0.3">
      <c r="A60" s="3">
        <v>1058</v>
      </c>
      <c r="B60" s="5">
        <v>2947.3</v>
      </c>
    </row>
    <row r="61" spans="1:2" x14ac:dyDescent="0.3">
      <c r="A61" s="3">
        <v>1059</v>
      </c>
      <c r="B61" s="5">
        <v>7799.67</v>
      </c>
    </row>
    <row r="62" spans="1:2" x14ac:dyDescent="0.3">
      <c r="A62" s="3">
        <v>1060</v>
      </c>
      <c r="B62" s="5">
        <v>7743.92</v>
      </c>
    </row>
    <row r="63" spans="1:2" x14ac:dyDescent="0.3">
      <c r="A63" s="3">
        <v>1061</v>
      </c>
      <c r="B63" s="5">
        <v>9392.6200000000008</v>
      </c>
    </row>
    <row r="64" spans="1:2" x14ac:dyDescent="0.3">
      <c r="A64" s="3">
        <v>1062</v>
      </c>
      <c r="B64" s="5">
        <v>9609.51</v>
      </c>
    </row>
    <row r="65" spans="1:2" x14ac:dyDescent="0.3">
      <c r="A65" s="3">
        <v>1063</v>
      </c>
      <c r="B65" s="5">
        <v>9096.35</v>
      </c>
    </row>
    <row r="66" spans="1:2" x14ac:dyDescent="0.3">
      <c r="A66" s="3">
        <v>1064</v>
      </c>
      <c r="B66" s="5">
        <v>4214.8999999999996</v>
      </c>
    </row>
    <row r="67" spans="1:2" x14ac:dyDescent="0.3">
      <c r="A67" s="3">
        <v>1065</v>
      </c>
      <c r="B67" s="5">
        <v>9682.4599999999991</v>
      </c>
    </row>
    <row r="68" spans="1:2" x14ac:dyDescent="0.3">
      <c r="A68" s="3">
        <v>1066</v>
      </c>
      <c r="B68" s="5">
        <v>12033.11</v>
      </c>
    </row>
    <row r="69" spans="1:2" x14ac:dyDescent="0.3">
      <c r="A69" s="3">
        <v>1067</v>
      </c>
      <c r="B69" s="5">
        <v>5377.44</v>
      </c>
    </row>
    <row r="70" spans="1:2" x14ac:dyDescent="0.3">
      <c r="A70" s="3">
        <v>1068</v>
      </c>
      <c r="B70" s="5">
        <v>8800.61</v>
      </c>
    </row>
    <row r="71" spans="1:2" x14ac:dyDescent="0.3">
      <c r="A71" s="3">
        <v>1069</v>
      </c>
      <c r="B71" s="5">
        <v>4826.71</v>
      </c>
    </row>
    <row r="72" spans="1:2" x14ac:dyDescent="0.3">
      <c r="A72" s="3">
        <v>1070</v>
      </c>
      <c r="B72" s="5">
        <v>15257.48</v>
      </c>
    </row>
    <row r="73" spans="1:2" x14ac:dyDescent="0.3">
      <c r="A73" s="3">
        <v>1071</v>
      </c>
      <c r="B73" s="5">
        <v>7124.26</v>
      </c>
    </row>
    <row r="74" spans="1:2" x14ac:dyDescent="0.3">
      <c r="A74" s="3">
        <v>1072</v>
      </c>
      <c r="B74" s="5">
        <v>8777.9500000000007</v>
      </c>
    </row>
    <row r="75" spans="1:2" x14ac:dyDescent="0.3">
      <c r="A75" s="3">
        <v>1073</v>
      </c>
      <c r="B75" s="5">
        <v>11288.56</v>
      </c>
    </row>
    <row r="76" spans="1:2" x14ac:dyDescent="0.3">
      <c r="A76" s="3">
        <v>1074</v>
      </c>
      <c r="B76" s="5">
        <v>6931.2</v>
      </c>
    </row>
    <row r="77" spans="1:2" x14ac:dyDescent="0.3">
      <c r="A77" s="3">
        <v>1075</v>
      </c>
      <c r="B77" s="5">
        <v>11311.07</v>
      </c>
    </row>
    <row r="78" spans="1:2" x14ac:dyDescent="0.3">
      <c r="A78" s="3">
        <v>1076</v>
      </c>
      <c r="B78" s="5">
        <v>18344.22</v>
      </c>
    </row>
    <row r="79" spans="1:2" x14ac:dyDescent="0.3">
      <c r="A79" s="3">
        <v>1077</v>
      </c>
      <c r="B79" s="5">
        <v>9370.2199999999993</v>
      </c>
    </row>
    <row r="80" spans="1:2" x14ac:dyDescent="0.3">
      <c r="A80" s="3">
        <v>1078</v>
      </c>
      <c r="B80" s="5">
        <v>5304.47</v>
      </c>
    </row>
    <row r="81" spans="1:2" x14ac:dyDescent="0.3">
      <c r="A81" s="3">
        <v>1079</v>
      </c>
      <c r="B81" s="5">
        <v>9626.4</v>
      </c>
    </row>
    <row r="82" spans="1:2" x14ac:dyDescent="0.3">
      <c r="A82" s="3">
        <v>1080</v>
      </c>
      <c r="B82" s="5">
        <v>12932.48</v>
      </c>
    </row>
    <row r="83" spans="1:2" x14ac:dyDescent="0.3">
      <c r="A83" s="3">
        <v>1081</v>
      </c>
      <c r="B83" s="5">
        <v>12109.98</v>
      </c>
    </row>
    <row r="84" spans="1:2" x14ac:dyDescent="0.3">
      <c r="A84" s="3">
        <v>1082</v>
      </c>
      <c r="B84" s="5">
        <v>6572.72</v>
      </c>
    </row>
    <row r="85" spans="1:2" x14ac:dyDescent="0.3">
      <c r="A85" s="3">
        <v>1083</v>
      </c>
      <c r="B85" s="5">
        <v>8309.58</v>
      </c>
    </row>
    <row r="86" spans="1:2" x14ac:dyDescent="0.3">
      <c r="A86" s="3">
        <v>1084</v>
      </c>
      <c r="B86" s="5">
        <v>8656.4</v>
      </c>
    </row>
    <row r="87" spans="1:2" x14ac:dyDescent="0.3">
      <c r="A87" s="3">
        <v>1085</v>
      </c>
      <c r="B87" s="5">
        <v>4670.49</v>
      </c>
    </row>
    <row r="88" spans="1:2" x14ac:dyDescent="0.3">
      <c r="A88" s="3">
        <v>1086</v>
      </c>
      <c r="B88" s="5">
        <v>15672.83</v>
      </c>
    </row>
    <row r="89" spans="1:2" x14ac:dyDescent="0.3">
      <c r="A89" s="3">
        <v>1087</v>
      </c>
      <c r="B89" s="5">
        <v>7429.34</v>
      </c>
    </row>
    <row r="90" spans="1:2" x14ac:dyDescent="0.3">
      <c r="A90" s="3">
        <v>1088</v>
      </c>
      <c r="B90" s="5">
        <v>7430.21</v>
      </c>
    </row>
    <row r="91" spans="1:2" x14ac:dyDescent="0.3">
      <c r="A91" s="3">
        <v>1089</v>
      </c>
      <c r="B91" s="5">
        <v>3621.47</v>
      </c>
    </row>
    <row r="92" spans="1:2" x14ac:dyDescent="0.3">
      <c r="A92" s="3">
        <v>1090</v>
      </c>
      <c r="B92" s="5">
        <v>5349.49</v>
      </c>
    </row>
    <row r="93" spans="1:2" x14ac:dyDescent="0.3">
      <c r="A93" s="3">
        <v>1091</v>
      </c>
      <c r="B93" s="5">
        <v>8399.5300000000007</v>
      </c>
    </row>
    <row r="94" spans="1:2" x14ac:dyDescent="0.3">
      <c r="A94" s="3">
        <v>1092</v>
      </c>
      <c r="B94" s="5">
        <v>9549.67</v>
      </c>
    </row>
    <row r="95" spans="1:2" x14ac:dyDescent="0.3">
      <c r="A95" s="3">
        <v>1093</v>
      </c>
      <c r="B95" s="5">
        <v>12222.12</v>
      </c>
    </row>
    <row r="96" spans="1:2" x14ac:dyDescent="0.3">
      <c r="A96" s="3">
        <v>1094</v>
      </c>
      <c r="B96" s="5">
        <v>9867.69</v>
      </c>
    </row>
    <row r="97" spans="1:2" x14ac:dyDescent="0.3">
      <c r="A97" s="3">
        <v>1095</v>
      </c>
      <c r="B97" s="5">
        <v>9837.75</v>
      </c>
    </row>
    <row r="98" spans="1:2" x14ac:dyDescent="0.3">
      <c r="A98" s="3">
        <v>1096</v>
      </c>
      <c r="B98" s="5">
        <v>6571.66</v>
      </c>
    </row>
    <row r="99" spans="1:2" x14ac:dyDescent="0.3">
      <c r="A99" s="3">
        <v>1097</v>
      </c>
      <c r="B99" s="5">
        <v>13581.09</v>
      </c>
    </row>
    <row r="100" spans="1:2" x14ac:dyDescent="0.3">
      <c r="A100" s="3">
        <v>1098</v>
      </c>
      <c r="B100" s="5">
        <v>8748.27</v>
      </c>
    </row>
    <row r="101" spans="1:2" x14ac:dyDescent="0.3">
      <c r="A101" s="3">
        <v>1099</v>
      </c>
      <c r="B101" s="5">
        <v>7698.59</v>
      </c>
    </row>
    <row r="102" spans="1:2" x14ac:dyDescent="0.3">
      <c r="A102" s="3">
        <v>1100</v>
      </c>
      <c r="B102" s="5">
        <v>7197.2</v>
      </c>
    </row>
    <row r="103" spans="1:2" x14ac:dyDescent="0.3">
      <c r="A103" s="3">
        <v>1101</v>
      </c>
      <c r="B103" s="5">
        <v>16152.89</v>
      </c>
    </row>
    <row r="104" spans="1:2" x14ac:dyDescent="0.3">
      <c r="A104" s="3">
        <v>1102</v>
      </c>
      <c r="B104" s="5">
        <v>4120.22</v>
      </c>
    </row>
    <row r="105" spans="1:2" x14ac:dyDescent="0.3">
      <c r="A105" s="3">
        <v>1103</v>
      </c>
      <c r="B105" s="5">
        <v>8148.34</v>
      </c>
    </row>
    <row r="106" spans="1:2" x14ac:dyDescent="0.3">
      <c r="A106" s="3">
        <v>1104</v>
      </c>
      <c r="B106" s="5">
        <v>3122.42</v>
      </c>
    </row>
    <row r="107" spans="1:2" x14ac:dyDescent="0.3">
      <c r="A107" s="3">
        <v>1105</v>
      </c>
      <c r="B107" s="5">
        <v>13003</v>
      </c>
    </row>
    <row r="108" spans="1:2" x14ac:dyDescent="0.3">
      <c r="A108" s="3">
        <v>1106</v>
      </c>
      <c r="B108" s="5">
        <v>12159.8</v>
      </c>
    </row>
    <row r="109" spans="1:2" x14ac:dyDescent="0.3">
      <c r="A109" s="3">
        <v>1107</v>
      </c>
      <c r="B109" s="5">
        <v>18566.22</v>
      </c>
    </row>
    <row r="110" spans="1:2" x14ac:dyDescent="0.3">
      <c r="A110" s="3">
        <v>1108</v>
      </c>
      <c r="B110" s="5">
        <v>9947.0499999999993</v>
      </c>
    </row>
    <row r="111" spans="1:2" x14ac:dyDescent="0.3">
      <c r="A111" s="3">
        <v>1109</v>
      </c>
      <c r="B111" s="5">
        <v>4702.3100000000004</v>
      </c>
    </row>
    <row r="112" spans="1:2" x14ac:dyDescent="0.3">
      <c r="A112" s="3">
        <v>1110</v>
      </c>
      <c r="B112" s="5">
        <v>3967.49</v>
      </c>
    </row>
    <row r="113" spans="1:2" x14ac:dyDescent="0.3">
      <c r="A113" s="3">
        <v>1111</v>
      </c>
      <c r="B113" s="5">
        <v>16082.27</v>
      </c>
    </row>
    <row r="114" spans="1:2" x14ac:dyDescent="0.3">
      <c r="A114" s="3">
        <v>1112</v>
      </c>
      <c r="B114" s="5">
        <v>7015.61</v>
      </c>
    </row>
    <row r="115" spans="1:2" x14ac:dyDescent="0.3">
      <c r="A115" s="3">
        <v>1113</v>
      </c>
      <c r="B115" s="5">
        <v>11895.27</v>
      </c>
    </row>
    <row r="116" spans="1:2" x14ac:dyDescent="0.3">
      <c r="A116" s="3">
        <v>1114</v>
      </c>
      <c r="B116" s="5">
        <v>5842.28</v>
      </c>
    </row>
    <row r="117" spans="1:2" x14ac:dyDescent="0.3">
      <c r="A117" s="3">
        <v>1115</v>
      </c>
      <c r="B117" s="5">
        <v>9693.92</v>
      </c>
    </row>
    <row r="118" spans="1:2" x14ac:dyDescent="0.3">
      <c r="A118" s="3">
        <v>1116</v>
      </c>
      <c r="B118" s="5">
        <v>12001.63</v>
      </c>
    </row>
    <row r="119" spans="1:2" x14ac:dyDescent="0.3">
      <c r="A119" s="3">
        <v>1117</v>
      </c>
      <c r="B119" s="5">
        <v>6476.17</v>
      </c>
    </row>
    <row r="120" spans="1:2" x14ac:dyDescent="0.3">
      <c r="A120" s="3">
        <v>1118</v>
      </c>
      <c r="B120" s="5">
        <v>11619.16</v>
      </c>
    </row>
    <row r="121" spans="1:2" x14ac:dyDescent="0.3">
      <c r="A121" s="3">
        <v>1119</v>
      </c>
      <c r="B121" s="5">
        <v>9845.1299999999992</v>
      </c>
    </row>
    <row r="122" spans="1:2" x14ac:dyDescent="0.3">
      <c r="A122" s="3">
        <v>1120</v>
      </c>
      <c r="B122" s="5">
        <v>7784.38</v>
      </c>
    </row>
    <row r="123" spans="1:2" x14ac:dyDescent="0.3">
      <c r="A123" s="3">
        <v>1121</v>
      </c>
      <c r="B123" s="5">
        <v>23908.63</v>
      </c>
    </row>
    <row r="124" spans="1:2" x14ac:dyDescent="0.3">
      <c r="A124" s="3">
        <v>1122</v>
      </c>
      <c r="B124" s="5">
        <v>4400.4799999999996</v>
      </c>
    </row>
    <row r="125" spans="1:2" x14ac:dyDescent="0.3">
      <c r="A125" s="3">
        <v>1123</v>
      </c>
      <c r="B125" s="5">
        <v>14442.24</v>
      </c>
    </row>
    <row r="126" spans="1:2" x14ac:dyDescent="0.3">
      <c r="A126" s="3">
        <v>1124</v>
      </c>
      <c r="B126" s="5">
        <v>11890.24</v>
      </c>
    </row>
    <row r="127" spans="1:2" x14ac:dyDescent="0.3">
      <c r="A127" s="3">
        <v>1125</v>
      </c>
      <c r="B127" s="5">
        <v>12570.44</v>
      </c>
    </row>
    <row r="128" spans="1:2" x14ac:dyDescent="0.3">
      <c r="A128" s="3">
        <v>1126</v>
      </c>
      <c r="B128" s="5">
        <v>6409.02</v>
      </c>
    </row>
    <row r="129" spans="1:2" x14ac:dyDescent="0.3">
      <c r="A129" s="3">
        <v>1127</v>
      </c>
      <c r="B129" s="5">
        <v>14863.72</v>
      </c>
    </row>
    <row r="130" spans="1:2" x14ac:dyDescent="0.3">
      <c r="A130" s="3">
        <v>1128</v>
      </c>
      <c r="B130" s="5">
        <v>13308.43</v>
      </c>
    </row>
    <row r="131" spans="1:2" x14ac:dyDescent="0.3">
      <c r="A131" s="3">
        <v>1129</v>
      </c>
      <c r="B131" s="5">
        <v>15494.9</v>
      </c>
    </row>
    <row r="132" spans="1:2" x14ac:dyDescent="0.3">
      <c r="A132" s="3">
        <v>1130</v>
      </c>
      <c r="B132" s="5">
        <v>7894.78</v>
      </c>
    </row>
    <row r="133" spans="1:2" x14ac:dyDescent="0.3">
      <c r="A133" s="3">
        <v>1131</v>
      </c>
      <c r="B133" s="5">
        <v>17970.34</v>
      </c>
    </row>
    <row r="134" spans="1:2" x14ac:dyDescent="0.3">
      <c r="A134" s="3">
        <v>1132</v>
      </c>
      <c r="B134" s="5">
        <v>12834.14</v>
      </c>
    </row>
    <row r="135" spans="1:2" x14ac:dyDescent="0.3">
      <c r="A135" s="3">
        <v>1133</v>
      </c>
      <c r="B135" s="5">
        <v>9570.74</v>
      </c>
    </row>
    <row r="136" spans="1:2" x14ac:dyDescent="0.3">
      <c r="A136" s="3">
        <v>1134</v>
      </c>
      <c r="B136" s="5">
        <v>10092.18</v>
      </c>
    </row>
    <row r="137" spans="1:2" x14ac:dyDescent="0.3">
      <c r="A137" s="3">
        <v>1135</v>
      </c>
      <c r="B137" s="5">
        <v>8818.42</v>
      </c>
    </row>
    <row r="138" spans="1:2" x14ac:dyDescent="0.3">
      <c r="A138" s="3">
        <v>1136</v>
      </c>
      <c r="B138" s="5">
        <v>15417.05</v>
      </c>
    </row>
    <row r="139" spans="1:2" x14ac:dyDescent="0.3">
      <c r="A139" s="3">
        <v>1137</v>
      </c>
      <c r="B139" s="5">
        <v>2873.56</v>
      </c>
    </row>
    <row r="140" spans="1:2" x14ac:dyDescent="0.3">
      <c r="A140" s="3">
        <v>1138</v>
      </c>
      <c r="B140" s="5">
        <v>9772.08</v>
      </c>
    </row>
    <row r="141" spans="1:2" x14ac:dyDescent="0.3">
      <c r="A141" s="3">
        <v>1139</v>
      </c>
      <c r="B141" s="5">
        <v>14778.1</v>
      </c>
    </row>
    <row r="142" spans="1:2" x14ac:dyDescent="0.3">
      <c r="A142" s="3">
        <v>1140</v>
      </c>
      <c r="B142" s="5">
        <v>5788.34</v>
      </c>
    </row>
    <row r="143" spans="1:2" x14ac:dyDescent="0.3">
      <c r="A143" s="3">
        <v>1141</v>
      </c>
      <c r="B143" s="5">
        <v>12786.41</v>
      </c>
    </row>
    <row r="144" spans="1:2" x14ac:dyDescent="0.3">
      <c r="A144" s="3">
        <v>1142</v>
      </c>
      <c r="B144" s="5">
        <v>22913.52</v>
      </c>
    </row>
    <row r="145" spans="1:2" x14ac:dyDescent="0.3">
      <c r="A145" s="3">
        <v>1143</v>
      </c>
      <c r="B145" s="5">
        <v>5282.16</v>
      </c>
    </row>
    <row r="146" spans="1:2" x14ac:dyDescent="0.3">
      <c r="A146" s="3">
        <v>1144</v>
      </c>
      <c r="B146" s="5">
        <v>6837.84</v>
      </c>
    </row>
    <row r="147" spans="1:2" x14ac:dyDescent="0.3">
      <c r="A147" s="3">
        <v>1145</v>
      </c>
      <c r="B147" s="5">
        <v>13022.25</v>
      </c>
    </row>
    <row r="148" spans="1:2" x14ac:dyDescent="0.3">
      <c r="A148" s="3">
        <v>1146</v>
      </c>
      <c r="B148" s="5">
        <v>11916.12</v>
      </c>
    </row>
    <row r="149" spans="1:2" x14ac:dyDescent="0.3">
      <c r="A149" s="3">
        <v>1147</v>
      </c>
      <c r="B149" s="5">
        <v>20638.080000000002</v>
      </c>
    </row>
    <row r="150" spans="1:2" x14ac:dyDescent="0.3">
      <c r="A150" s="3">
        <v>1148</v>
      </c>
      <c r="B150" s="5">
        <v>5104.87</v>
      </c>
    </row>
    <row r="151" spans="1:2" x14ac:dyDescent="0.3">
      <c r="A151" s="3">
        <v>1149</v>
      </c>
      <c r="B151" s="5">
        <v>17858.39</v>
      </c>
    </row>
    <row r="152" spans="1:2" x14ac:dyDescent="0.3">
      <c r="A152" s="3">
        <v>1150</v>
      </c>
      <c r="B152" s="5">
        <v>9952.15</v>
      </c>
    </row>
    <row r="153" spans="1:2" x14ac:dyDescent="0.3">
      <c r="A153" s="3">
        <v>1151</v>
      </c>
      <c r="B153" s="5">
        <v>5815.05</v>
      </c>
    </row>
    <row r="154" spans="1:2" x14ac:dyDescent="0.3">
      <c r="A154" s="3">
        <v>1152</v>
      </c>
      <c r="B154" s="5">
        <v>12925.57</v>
      </c>
    </row>
    <row r="155" spans="1:2" x14ac:dyDescent="0.3">
      <c r="A155" s="3">
        <v>1153</v>
      </c>
      <c r="B155" s="5">
        <v>3428.46</v>
      </c>
    </row>
    <row r="156" spans="1:2" x14ac:dyDescent="0.3">
      <c r="A156" s="3">
        <v>1154</v>
      </c>
      <c r="B156" s="5">
        <v>5129.7700000000004</v>
      </c>
    </row>
    <row r="157" spans="1:2" x14ac:dyDescent="0.3">
      <c r="A157" s="3">
        <v>1155</v>
      </c>
      <c r="B157" s="5">
        <v>6337.16</v>
      </c>
    </row>
    <row r="158" spans="1:2" x14ac:dyDescent="0.3">
      <c r="A158" s="3">
        <v>1156</v>
      </c>
      <c r="B158" s="5">
        <v>6841.69</v>
      </c>
    </row>
    <row r="159" spans="1:2" x14ac:dyDescent="0.3">
      <c r="A159" s="3">
        <v>1157</v>
      </c>
      <c r="B159" s="5">
        <v>20243.14</v>
      </c>
    </row>
    <row r="160" spans="1:2" x14ac:dyDescent="0.3">
      <c r="A160" s="3">
        <v>1158</v>
      </c>
      <c r="B160" s="5">
        <v>9042.11</v>
      </c>
    </row>
    <row r="161" spans="1:2" x14ac:dyDescent="0.3">
      <c r="A161" s="3">
        <v>1159</v>
      </c>
      <c r="B161" s="5">
        <v>4668.6000000000004</v>
      </c>
    </row>
    <row r="162" spans="1:2" x14ac:dyDescent="0.3">
      <c r="A162" s="3">
        <v>1160</v>
      </c>
      <c r="B162" s="5">
        <v>7104.17</v>
      </c>
    </row>
    <row r="163" spans="1:2" x14ac:dyDescent="0.3">
      <c r="A163" s="3">
        <v>1161</v>
      </c>
      <c r="B163" s="5">
        <v>4271.7299999999996</v>
      </c>
    </row>
    <row r="164" spans="1:2" x14ac:dyDescent="0.3">
      <c r="A164" s="3">
        <v>1162</v>
      </c>
      <c r="B164" s="5">
        <v>2899.26</v>
      </c>
    </row>
    <row r="165" spans="1:2" x14ac:dyDescent="0.3">
      <c r="A165" s="3">
        <v>1163</v>
      </c>
      <c r="B165" s="5">
        <v>7272.34</v>
      </c>
    </row>
    <row r="166" spans="1:2" x14ac:dyDescent="0.3">
      <c r="A166" s="3">
        <v>1164</v>
      </c>
      <c r="B166" s="5">
        <v>9785.19</v>
      </c>
    </row>
    <row r="167" spans="1:2" x14ac:dyDescent="0.3">
      <c r="A167" s="3">
        <v>1165</v>
      </c>
      <c r="B167" s="5">
        <v>10856.11</v>
      </c>
    </row>
    <row r="168" spans="1:2" x14ac:dyDescent="0.3">
      <c r="A168" s="3">
        <v>1166</v>
      </c>
      <c r="B168" s="5">
        <v>6192.93</v>
      </c>
    </row>
    <row r="169" spans="1:2" x14ac:dyDescent="0.3">
      <c r="A169" s="3">
        <v>1167</v>
      </c>
      <c r="B169" s="5">
        <v>8223.57</v>
      </c>
    </row>
    <row r="170" spans="1:2" x14ac:dyDescent="0.3">
      <c r="A170" s="3">
        <v>1168</v>
      </c>
      <c r="B170" s="5">
        <v>10800.02</v>
      </c>
    </row>
    <row r="171" spans="1:2" x14ac:dyDescent="0.3">
      <c r="A171" s="3">
        <v>1169</v>
      </c>
      <c r="B171" s="5">
        <v>9068.61</v>
      </c>
    </row>
    <row r="172" spans="1:2" x14ac:dyDescent="0.3">
      <c r="A172" s="3">
        <v>1170</v>
      </c>
      <c r="B172" s="5">
        <v>2207.33</v>
      </c>
    </row>
    <row r="173" spans="1:2" x14ac:dyDescent="0.3">
      <c r="A173" s="3">
        <v>1171</v>
      </c>
      <c r="B173" s="5">
        <v>5220.41</v>
      </c>
    </row>
    <row r="174" spans="1:2" x14ac:dyDescent="0.3">
      <c r="A174" s="3">
        <v>1172</v>
      </c>
      <c r="B174" s="5">
        <v>14945.73</v>
      </c>
    </row>
    <row r="175" spans="1:2" x14ac:dyDescent="0.3">
      <c r="A175" s="3">
        <v>1173</v>
      </c>
      <c r="B175" s="5">
        <v>13868.88</v>
      </c>
    </row>
    <row r="176" spans="1:2" x14ac:dyDescent="0.3">
      <c r="A176" s="3">
        <v>1174</v>
      </c>
      <c r="B176" s="5">
        <v>11161.17</v>
      </c>
    </row>
    <row r="177" spans="1:2" x14ac:dyDescent="0.3">
      <c r="A177" s="3">
        <v>1175</v>
      </c>
      <c r="B177" s="5">
        <v>13180.96</v>
      </c>
    </row>
    <row r="178" spans="1:2" x14ac:dyDescent="0.3">
      <c r="A178" s="3">
        <v>1176</v>
      </c>
      <c r="B178" s="5">
        <v>9985.36</v>
      </c>
    </row>
    <row r="179" spans="1:2" x14ac:dyDescent="0.3">
      <c r="A179" s="3">
        <v>1177</v>
      </c>
      <c r="B179" s="5">
        <v>5072.03</v>
      </c>
    </row>
    <row r="180" spans="1:2" x14ac:dyDescent="0.3">
      <c r="A180" s="3">
        <v>1178</v>
      </c>
      <c r="B180" s="5">
        <v>14942.6</v>
      </c>
    </row>
    <row r="181" spans="1:2" x14ac:dyDescent="0.3">
      <c r="A181" s="3">
        <v>1179</v>
      </c>
      <c r="B181" s="5">
        <v>13670.98</v>
      </c>
    </row>
    <row r="182" spans="1:2" x14ac:dyDescent="0.3">
      <c r="A182" s="3">
        <v>1180</v>
      </c>
      <c r="B182" s="5">
        <v>4440.46</v>
      </c>
    </row>
    <row r="183" spans="1:2" x14ac:dyDescent="0.3">
      <c r="A183" s="3">
        <v>1181</v>
      </c>
      <c r="B183" s="5">
        <v>13251.36</v>
      </c>
    </row>
    <row r="184" spans="1:2" x14ac:dyDescent="0.3">
      <c r="A184" s="3">
        <v>1182</v>
      </c>
      <c r="B184" s="5">
        <v>2606.0100000000002</v>
      </c>
    </row>
    <row r="185" spans="1:2" x14ac:dyDescent="0.3">
      <c r="A185" s="3">
        <v>1183</v>
      </c>
      <c r="B185" s="5">
        <v>17223.810000000001</v>
      </c>
    </row>
    <row r="186" spans="1:2" x14ac:dyDescent="0.3">
      <c r="A186" s="3">
        <v>1184</v>
      </c>
      <c r="B186" s="5">
        <v>13635.52</v>
      </c>
    </row>
    <row r="187" spans="1:2" x14ac:dyDescent="0.3">
      <c r="A187" s="3">
        <v>1185</v>
      </c>
      <c r="B187" s="5">
        <v>14725.61</v>
      </c>
    </row>
    <row r="188" spans="1:2" x14ac:dyDescent="0.3">
      <c r="A188" s="3">
        <v>1186</v>
      </c>
      <c r="B188" s="5">
        <v>5323.92</v>
      </c>
    </row>
    <row r="189" spans="1:2" x14ac:dyDescent="0.3">
      <c r="A189" s="3">
        <v>1187</v>
      </c>
      <c r="B189" s="5">
        <v>10941.63</v>
      </c>
    </row>
    <row r="190" spans="1:2" x14ac:dyDescent="0.3">
      <c r="A190" s="3">
        <v>1188</v>
      </c>
      <c r="B190" s="5">
        <v>17208.599999999999</v>
      </c>
    </row>
    <row r="191" spans="1:2" x14ac:dyDescent="0.3">
      <c r="A191" s="3">
        <v>1189</v>
      </c>
      <c r="B191" s="5">
        <v>12973.78</v>
      </c>
    </row>
    <row r="192" spans="1:2" x14ac:dyDescent="0.3">
      <c r="A192" s="3">
        <v>1190</v>
      </c>
      <c r="B192" s="5">
        <v>2865.47</v>
      </c>
    </row>
    <row r="193" spans="1:2" x14ac:dyDescent="0.3">
      <c r="A193" s="3">
        <v>1191</v>
      </c>
      <c r="B193" s="5">
        <v>6151.25</v>
      </c>
    </row>
    <row r="194" spans="1:2" x14ac:dyDescent="0.3">
      <c r="A194" s="3">
        <v>1192</v>
      </c>
      <c r="B194" s="5">
        <v>6048.67</v>
      </c>
    </row>
    <row r="195" spans="1:2" x14ac:dyDescent="0.3">
      <c r="A195" s="3">
        <v>1193</v>
      </c>
      <c r="B195" s="5">
        <v>16932.310000000001</v>
      </c>
    </row>
    <row r="196" spans="1:2" x14ac:dyDescent="0.3">
      <c r="A196" s="3">
        <v>1194</v>
      </c>
      <c r="B196" s="5">
        <v>6492.05</v>
      </c>
    </row>
    <row r="197" spans="1:2" x14ac:dyDescent="0.3">
      <c r="A197" s="3">
        <v>1195</v>
      </c>
      <c r="B197" s="5">
        <v>15616.18</v>
      </c>
    </row>
    <row r="198" spans="1:2" x14ac:dyDescent="0.3">
      <c r="A198" s="3">
        <v>1196</v>
      </c>
      <c r="B198" s="5">
        <v>15306.58</v>
      </c>
    </row>
    <row r="199" spans="1:2" x14ac:dyDescent="0.3">
      <c r="A199" s="3">
        <v>1197</v>
      </c>
      <c r="B199" s="5">
        <v>13106.03</v>
      </c>
    </row>
    <row r="200" spans="1:2" x14ac:dyDescent="0.3">
      <c r="A200" s="3">
        <v>1198</v>
      </c>
      <c r="B200" s="5">
        <v>13833.27</v>
      </c>
    </row>
    <row r="201" spans="1:2" x14ac:dyDescent="0.3">
      <c r="A201" s="3">
        <v>1199</v>
      </c>
      <c r="B201" s="5">
        <v>17011.759999999998</v>
      </c>
    </row>
    <row r="202" spans="1:2" x14ac:dyDescent="0.3">
      <c r="A202" s="3" t="s">
        <v>40</v>
      </c>
      <c r="B202" s="5">
        <v>288.11</v>
      </c>
    </row>
    <row r="203" spans="1:2" x14ac:dyDescent="0.3">
      <c r="A203" s="3" t="s">
        <v>12</v>
      </c>
      <c r="B203" s="5">
        <v>2026756.98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58CD1698-C762-4BEB-8B4E-E3D374C54BDF}">
  <ds:schemaRefs/>
</ds:datastoreItem>
</file>

<file path=customXml/itemProps2.xml><?xml version="1.0" encoding="utf-8"?>
<ds:datastoreItem xmlns:ds="http://schemas.openxmlformats.org/officeDocument/2006/customXml" ds:itemID="{9AB028A8-E777-4765-BF5C-B5E99CDB6F41}">
  <ds:schemaRefs/>
</ds:datastoreItem>
</file>

<file path=customXml/itemProps3.xml><?xml version="1.0" encoding="utf-8"?>
<ds:datastoreItem xmlns:ds="http://schemas.openxmlformats.org/officeDocument/2006/customXml" ds:itemID="{77E78E86-61B2-4BF9-91F8-79307759EFBA}">
  <ds:schemaRefs/>
</ds:datastoreItem>
</file>

<file path=customXml/itemProps4.xml><?xml version="1.0" encoding="utf-8"?>
<ds:datastoreItem xmlns:ds="http://schemas.openxmlformats.org/officeDocument/2006/customXml" ds:itemID="{4787BCEC-30C7-45DA-97B4-387FDFF54685}">
  <ds:schemaRefs/>
</ds:datastoreItem>
</file>

<file path=customXml/itemProps5.xml><?xml version="1.0" encoding="utf-8"?>
<ds:datastoreItem xmlns:ds="http://schemas.openxmlformats.org/officeDocument/2006/customXml" ds:itemID="{751A74A1-A84D-4E83-9605-1D3ADFB0B375}">
  <ds:schemaRefs/>
</ds:datastoreItem>
</file>

<file path=customXml/itemProps6.xml><?xml version="1.0" encoding="utf-8"?>
<ds:datastoreItem xmlns:ds="http://schemas.openxmlformats.org/officeDocument/2006/customXml" ds:itemID="{3B379636-9013-4EE2-81E7-4E528BDF7ED5}">
  <ds:schemaRefs/>
</ds:datastoreItem>
</file>

<file path=customXml/itemProps7.xml><?xml version="1.0" encoding="utf-8"?>
<ds:datastoreItem xmlns:ds="http://schemas.openxmlformats.org/officeDocument/2006/customXml" ds:itemID="{FC726242-D3C1-43C5-A6C2-98729CA77B10}">
  <ds:schemaRefs/>
</ds:datastoreItem>
</file>

<file path=customXml/itemProps8.xml><?xml version="1.0" encoding="utf-8"?>
<ds:datastoreItem xmlns:ds="http://schemas.openxmlformats.org/officeDocument/2006/customXml" ds:itemID="{F374414A-0F98-47BC-BA6D-37150DA04FD4}">
  <ds:schemaRefs/>
</ds:datastoreItem>
</file>

<file path=customXml/itemProps9.xml><?xml version="1.0" encoding="utf-8"?>
<ds:datastoreItem xmlns:ds="http://schemas.openxmlformats.org/officeDocument/2006/customXml" ds:itemID="{6390F748-934D-4D4D-A803-A0F0BAF6E404}">
  <ds:schemaRefs/>
</ds:datastoreItem>
</file>

<file path=customXml/itemProps10.xml><?xml version="1.0" encoding="utf-8"?>
<ds:datastoreItem xmlns:ds="http://schemas.openxmlformats.org/officeDocument/2006/customXml" ds:itemID="{99D1887E-9626-4D01-8B47-02D2ABB5914A}">
  <ds:schemaRefs/>
</ds:datastoreItem>
</file>

<file path=customXml/itemProps11.xml><?xml version="1.0" encoding="utf-8"?>
<ds:datastoreItem xmlns:ds="http://schemas.openxmlformats.org/officeDocument/2006/customXml" ds:itemID="{21A3EF9D-CC8B-4DAE-A7BF-80513F195451}">
  <ds:schemaRefs/>
</ds:datastoreItem>
</file>

<file path=customXml/itemProps12.xml><?xml version="1.0" encoding="utf-8"?>
<ds:datastoreItem xmlns:ds="http://schemas.openxmlformats.org/officeDocument/2006/customXml" ds:itemID="{2FB97849-C894-4768-9036-C9BB2472A1AF}">
  <ds:schemaRefs/>
</ds:datastoreItem>
</file>

<file path=customXml/itemProps13.xml><?xml version="1.0" encoding="utf-8"?>
<ds:datastoreItem xmlns:ds="http://schemas.openxmlformats.org/officeDocument/2006/customXml" ds:itemID="{29049587-8D96-4479-A7E7-D39E5CF6298A}">
  <ds:schemaRefs/>
</ds:datastoreItem>
</file>

<file path=customXml/itemProps14.xml><?xml version="1.0" encoding="utf-8"?>
<ds:datastoreItem xmlns:ds="http://schemas.openxmlformats.org/officeDocument/2006/customXml" ds:itemID="{6FB43138-6BE0-464B-9820-3F53510D2154}">
  <ds:schemaRefs/>
</ds:datastoreItem>
</file>

<file path=customXml/itemProps15.xml><?xml version="1.0" encoding="utf-8"?>
<ds:datastoreItem xmlns:ds="http://schemas.openxmlformats.org/officeDocument/2006/customXml" ds:itemID="{E7268434-331B-4984-96BB-0C4048970472}">
  <ds:schemaRefs/>
</ds:datastoreItem>
</file>

<file path=customXml/itemProps16.xml><?xml version="1.0" encoding="utf-8"?>
<ds:datastoreItem xmlns:ds="http://schemas.openxmlformats.org/officeDocument/2006/customXml" ds:itemID="{D7AF2548-992A-49FC-98CD-D359403C4C16}">
  <ds:schemaRefs/>
</ds:datastoreItem>
</file>

<file path=customXml/itemProps17.xml><?xml version="1.0" encoding="utf-8"?>
<ds:datastoreItem xmlns:ds="http://schemas.openxmlformats.org/officeDocument/2006/customXml" ds:itemID="{753FA59D-47E8-4D52-A8FA-7E793474F3DA}">
  <ds:schemaRefs/>
</ds:datastoreItem>
</file>

<file path=customXml/itemProps18.xml><?xml version="1.0" encoding="utf-8"?>
<ds:datastoreItem xmlns:ds="http://schemas.openxmlformats.org/officeDocument/2006/customXml" ds:itemID="{4A90306C-76F0-4305-A2C1-FE39AFB05B4A}">
  <ds:schemaRefs/>
</ds:datastoreItem>
</file>

<file path=customXml/itemProps19.xml><?xml version="1.0" encoding="utf-8"?>
<ds:datastoreItem xmlns:ds="http://schemas.openxmlformats.org/officeDocument/2006/customXml" ds:itemID="{5BB52054-3140-4FA4-BE6A-E7977B22F920}">
  <ds:schemaRefs>
    <ds:schemaRef ds:uri="http://schemas.microsoft.com/DataMashup"/>
  </ds:schemaRefs>
</ds:datastoreItem>
</file>

<file path=customXml/itemProps20.xml><?xml version="1.0" encoding="utf-8"?>
<ds:datastoreItem xmlns:ds="http://schemas.openxmlformats.org/officeDocument/2006/customXml" ds:itemID="{DA9DB022-64F9-4F90-9AFE-712D7EB7B6BF}">
  <ds:schemaRefs/>
</ds:datastoreItem>
</file>

<file path=customXml/itemProps21.xml><?xml version="1.0" encoding="utf-8"?>
<ds:datastoreItem xmlns:ds="http://schemas.openxmlformats.org/officeDocument/2006/customXml" ds:itemID="{BBCE68C0-2C7F-4A10-B48C-6BB4E0CFA49A}">
  <ds:schemaRefs/>
</ds:datastoreItem>
</file>

<file path=customXml/itemProps22.xml><?xml version="1.0" encoding="utf-8"?>
<ds:datastoreItem xmlns:ds="http://schemas.openxmlformats.org/officeDocument/2006/customXml" ds:itemID="{6B97B46F-F606-484E-8D84-11FB23F9AB60}">
  <ds:schemaRefs/>
</ds:datastoreItem>
</file>

<file path=customXml/itemProps23.xml><?xml version="1.0" encoding="utf-8"?>
<ds:datastoreItem xmlns:ds="http://schemas.openxmlformats.org/officeDocument/2006/customXml" ds:itemID="{2442A565-4401-4B4E-A5D1-970CB953105F}">
  <ds:schemaRefs/>
</ds:datastoreItem>
</file>

<file path=customXml/itemProps24.xml><?xml version="1.0" encoding="utf-8"?>
<ds:datastoreItem xmlns:ds="http://schemas.openxmlformats.org/officeDocument/2006/customXml" ds:itemID="{E3B0B904-4920-4582-AB5D-1553DD159DF5}">
  <ds:schemaRefs/>
</ds:datastoreItem>
</file>

<file path=customXml/itemProps25.xml><?xml version="1.0" encoding="utf-8"?>
<ds:datastoreItem xmlns:ds="http://schemas.openxmlformats.org/officeDocument/2006/customXml" ds:itemID="{BAB241FE-E7AD-4A95-8BE1-C9222EC91EC8}">
  <ds:schemaRefs/>
</ds:datastoreItem>
</file>

<file path=customXml/itemProps26.xml><?xml version="1.0" encoding="utf-8"?>
<ds:datastoreItem xmlns:ds="http://schemas.openxmlformats.org/officeDocument/2006/customXml" ds:itemID="{4C7A3895-D733-4038-9311-D33550DF04DD}">
  <ds:schemaRefs/>
</ds:datastoreItem>
</file>

<file path=customXml/itemProps27.xml><?xml version="1.0" encoding="utf-8"?>
<ds:datastoreItem xmlns:ds="http://schemas.openxmlformats.org/officeDocument/2006/customXml" ds:itemID="{22626713-55FA-4ED2-8F21-22A9028506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Dashboard</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Zaccheous Alade</dc:creator>
  <cp:lastModifiedBy>Zaccheous Alade</cp:lastModifiedBy>
  <dcterms:created xsi:type="dcterms:W3CDTF">2026-08-19T11:54:21Z</dcterms:created>
  <dcterms:modified xsi:type="dcterms:W3CDTF">2026-09-02T10:05:03Z</dcterms:modified>
</cp:coreProperties>
</file>